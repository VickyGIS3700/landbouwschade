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92" windowWidth="22980" windowHeight="9408"/>
  </bookViews>
  <sheets>
    <sheet name="ReadMe" sheetId="4" r:id="rId1"/>
    <sheet name="Teelten" sheetId="2" r:id="rId2"/>
    <sheet name="Input" sheetId="1" r:id="rId3"/>
    <sheet name="Tool" sheetId="3" r:id="rId4"/>
    <sheet name="Res." sheetId="5" r:id="rId5"/>
  </sheets>
  <calcPr calcId="145621"/>
</workbook>
</file>

<file path=xl/calcChain.xml><?xml version="1.0" encoding="utf-8"?>
<calcChain xmlns="http://schemas.openxmlformats.org/spreadsheetml/2006/main">
  <c r="E2" i="3" l="1"/>
  <c r="D15" i="2"/>
  <c r="C14" i="2"/>
  <c r="D14" i="2" s="1"/>
  <c r="C13" i="2"/>
  <c r="D13" i="2" s="1"/>
  <c r="C12" i="2"/>
  <c r="D12" i="2" s="1"/>
  <c r="C11" i="2"/>
  <c r="D11" i="2" s="1"/>
  <c r="C10" i="2"/>
  <c r="D10" i="2" s="1"/>
  <c r="D9" i="2"/>
  <c r="D8" i="2"/>
  <c r="D7" i="2"/>
  <c r="D6" i="2"/>
  <c r="D5" i="2"/>
  <c r="D4" i="2"/>
  <c r="D3" i="2"/>
</calcChain>
</file>

<file path=xl/sharedStrings.xml><?xml version="1.0" encoding="utf-8"?>
<sst xmlns="http://schemas.openxmlformats.org/spreadsheetml/2006/main" count="113" uniqueCount="61">
  <si>
    <t>Grasland</t>
  </si>
  <si>
    <t>per ha</t>
  </si>
  <si>
    <t>teelten</t>
  </si>
  <si>
    <t>kg</t>
  </si>
  <si>
    <t>€/kg</t>
  </si>
  <si>
    <t xml:space="preserve">€ </t>
  </si>
  <si>
    <t>NA</t>
  </si>
  <si>
    <t>Versie dd:</t>
  </si>
  <si>
    <t>Prijzen dd:</t>
  </si>
  <si>
    <t>Bovenstaande tabel kan steeds aangevuld worden met andere teelten.</t>
  </si>
  <si>
    <t>Belangrijk! De tool zoekt per perceel schade (in €) op basis van de naam zoals deze hier wordt aangeduid. Het is daarom belangrijk dat in de LandBouwSchade app identiek dezelfde naam wordt gebruikt als in deze tabel.</t>
  </si>
  <si>
    <t>Mais</t>
  </si>
  <si>
    <t>Suikerbieten</t>
  </si>
  <si>
    <t>Aardappelen</t>
  </si>
  <si>
    <t>Wortelen industrie</t>
  </si>
  <si>
    <t>Bonen industrie</t>
  </si>
  <si>
    <t>Cichorei</t>
  </si>
  <si>
    <t>Peer</t>
  </si>
  <si>
    <t>Hoe werkt het?</t>
  </si>
  <si>
    <t>Deze Excel-tool verwerkt de gegevens uit de LandBouwSchade app.</t>
  </si>
  <si>
    <t xml:space="preserve">Het resultaat is een samenvattende tabel van de schade per teelt, weergegeven in totale (€) en het gemiddelde (%).  </t>
  </si>
  <si>
    <t>Inleiding</t>
  </si>
  <si>
    <t>In dit tabblad moet de input voor de berekening worden geplakt, d.w.z. de gegevens die ge-exporteerd worden uit de app.</t>
  </si>
  <si>
    <r>
      <t xml:space="preserve">Tabblad </t>
    </r>
    <r>
      <rPr>
        <b/>
        <u/>
        <sz val="11"/>
        <color rgb="FFFF0000"/>
        <rFont val="Calibri"/>
        <family val="2"/>
        <scheme val="minor"/>
      </rPr>
      <t>'Teelten'</t>
    </r>
  </si>
  <si>
    <r>
      <t xml:space="preserve">Tabblad </t>
    </r>
    <r>
      <rPr>
        <b/>
        <u/>
        <sz val="11"/>
        <color rgb="FFFF0000"/>
        <rFont val="Calibri"/>
        <family val="2"/>
        <scheme val="minor"/>
      </rPr>
      <t>'Input'</t>
    </r>
  </si>
  <si>
    <r>
      <t>Tabblad</t>
    </r>
    <r>
      <rPr>
        <b/>
        <u/>
        <sz val="11"/>
        <color rgb="FFFF0000"/>
        <rFont val="Calibri"/>
        <family val="2"/>
        <scheme val="minor"/>
      </rPr>
      <t xml:space="preserve"> 'Tool'</t>
    </r>
  </si>
  <si>
    <t>Belangrijk: indien de export een.csv-bestand is, moet dit eerst via "tekst naar kolommen" worden omgezet naar verschillende kolommen: Gegevens &gt; Tekst naar kolommen &gt; Gescheiden + volgende &gt; Komma + voltooien. Meer info via google.</t>
  </si>
  <si>
    <r>
      <t xml:space="preserve">Alle rijen en kolommen van de output moeten worden geplakt in tabblad 'Input' in </t>
    </r>
    <r>
      <rPr>
        <b/>
        <sz val="11"/>
        <color theme="1"/>
        <rFont val="Calibri"/>
        <family val="2"/>
        <scheme val="minor"/>
      </rPr>
      <t>cel A1</t>
    </r>
    <r>
      <rPr>
        <sz val="11"/>
        <color theme="1"/>
        <rFont val="Calibri"/>
        <family val="2"/>
        <scheme val="minor"/>
      </rPr>
      <t xml:space="preserve">. </t>
    </r>
  </si>
  <si>
    <t>Beste manier om zeker te zijn dat het volledig is: ga naar het Excel bestand met de output en druk 2x ctrl+A, vervolgens kopieren (ctrl+V) en plakken in cel A1 van tabblad 'Input' (ctrl+C) van dit Excel bestand.</t>
  </si>
  <si>
    <t>Dit tabblad is de berekeningsbasis voor de schade per teelt.</t>
  </si>
  <si>
    <t>De teelten en cijfers moeten jaarlijks worden gecontroleerd op wijzigingen.</t>
  </si>
  <si>
    <t>Meer info in het tabblad zelf.</t>
  </si>
  <si>
    <t>Appel</t>
  </si>
  <si>
    <t>Kersen</t>
  </si>
  <si>
    <t>Krieken</t>
  </si>
  <si>
    <t>Aardbeien</t>
  </si>
  <si>
    <t>Rode bessen</t>
  </si>
  <si>
    <t>Frambozen</t>
  </si>
  <si>
    <t>Tarwe</t>
  </si>
  <si>
    <t>Gerst</t>
  </si>
  <si>
    <t>Andere granen</t>
  </si>
  <si>
    <t>Erwten industrie</t>
  </si>
  <si>
    <t>Belangrijk! De naam van de teelt moet identiek zijn aan wat in de app staat opgelijst, zelfs hoofdlettergevoelig!</t>
  </si>
  <si>
    <t>Ajuin</t>
  </si>
  <si>
    <t>Luzerne</t>
  </si>
  <si>
    <t>Sierteelt</t>
  </si>
  <si>
    <t>Druiven</t>
  </si>
  <si>
    <t>Andere teelten</t>
  </si>
  <si>
    <t>Schade €</t>
  </si>
  <si>
    <t>HK-TotOpp teelt</t>
  </si>
  <si>
    <t>HK-factor opp</t>
  </si>
  <si>
    <t>Schade% cum.</t>
  </si>
  <si>
    <t>INPUT</t>
  </si>
  <si>
    <t>CALC</t>
  </si>
  <si>
    <t>Opp (ha)</t>
  </si>
  <si>
    <t>Teelt</t>
  </si>
  <si>
    <t>Schade % gem.</t>
  </si>
  <si>
    <r>
      <t>Tabblad</t>
    </r>
    <r>
      <rPr>
        <b/>
        <u/>
        <sz val="11"/>
        <color rgb="FFFF0000"/>
        <rFont val="Calibri"/>
        <family val="2"/>
        <scheme val="minor"/>
      </rPr>
      <t xml:space="preserve"> 'Res.'</t>
    </r>
  </si>
  <si>
    <t>Hier wordt de samenvattende tabel weergegeven.</t>
  </si>
  <si>
    <t xml:space="preserve">Voor elke wijziging in de invoer moet op de opdrachtknop 'Nieuwe data inladen' gedrukt worden. </t>
  </si>
  <si>
    <t xml:space="preserve">Hier wordt de berekening gemaakt door op de opdrachtknop 'Nieuwe data inladen' te drukken.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</si>
</sst>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 &quot;€&quot;\ * #,##0.00_ ;_ &quot;€&quot;\ * \-#,##0.00_ ;_ &quot;€&quot;\ * &quot;-&quot;??_ ;_ @_ 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4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Border="0"/>
    <xf numFmtId="9" fontId="1" fillId="0" borderId="0" applyFont="0" applyFill="0" applyBorder="0" applyAlignment="0" applyProtection="0"/>
  </cellStyleXfs>
  <cellXfs count="47">
    <xf numFmtId="0" fontId="0" fillId="0" borderId="0" xfId="0"/>
    <xf numFmtId="14" fontId="0" fillId="0" borderId="0" xfId="0" applyNumberFormat="1"/>
    <xf numFmtId="0" fontId="0" fillId="0" borderId="10" xfId="0" applyBorder="1" applyAlignment="1">
      <alignment horizontal="center" vertical="center"/>
    </xf>
    <xf numFmtId="3" fontId="0" fillId="0" borderId="10" xfId="0" applyNumberFormat="1" applyBorder="1" applyAlignment="1">
      <alignment horizontal="center" vertical="center"/>
    </xf>
    <xf numFmtId="44" fontId="0" fillId="0" borderId="10" xfId="1" applyFont="1" applyBorder="1" applyAlignment="1">
      <alignment horizontal="center" vertical="center"/>
    </xf>
    <xf numFmtId="14" fontId="16" fillId="0" borderId="11" xfId="0" applyNumberFormat="1" applyFont="1" applyBorder="1"/>
    <xf numFmtId="0" fontId="0" fillId="0" borderId="14" xfId="0" applyBorder="1"/>
    <xf numFmtId="44" fontId="0" fillId="0" borderId="15" xfId="0" applyNumberFormat="1" applyBorder="1" applyAlignment="1">
      <alignment horizontal="center" vertical="center"/>
    </xf>
    <xf numFmtId="44" fontId="0" fillId="0" borderId="15" xfId="1" applyFont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8" fillId="0" borderId="0" xfId="0" applyFont="1"/>
    <xf numFmtId="0" fontId="0" fillId="0" borderId="0" xfId="0" applyNumberFormat="1" applyFill="1" applyAlignment="1" applyProtection="1"/>
    <xf numFmtId="0" fontId="13" fillId="33" borderId="0" xfId="0" applyFont="1" applyFill="1"/>
    <xf numFmtId="0" fontId="20" fillId="0" borderId="0" xfId="0" applyFont="1"/>
    <xf numFmtId="0" fontId="0" fillId="0" borderId="0" xfId="0" applyFont="1"/>
    <xf numFmtId="0" fontId="0" fillId="0" borderId="21" xfId="0" applyBorder="1"/>
    <xf numFmtId="3" fontId="0" fillId="0" borderId="22" xfId="0" applyNumberFormat="1" applyBorder="1" applyAlignment="1">
      <alignment horizontal="center" vertical="center"/>
    </xf>
    <xf numFmtId="44" fontId="0" fillId="0" borderId="22" xfId="1" applyFont="1" applyBorder="1" applyAlignment="1">
      <alignment horizontal="center" vertical="center"/>
    </xf>
    <xf numFmtId="44" fontId="0" fillId="0" borderId="23" xfId="0" applyNumberFormat="1" applyBorder="1" applyAlignment="1">
      <alignment horizontal="center" vertical="center"/>
    </xf>
    <xf numFmtId="0" fontId="0" fillId="0" borderId="24" xfId="0" applyBorder="1"/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1" fillId="0" borderId="0" xfId="43" applyNumberFormat="1" applyFill="1" applyAlignment="1" applyProtection="1"/>
    <xf numFmtId="22" fontId="21" fillId="0" borderId="0" xfId="43" applyNumberFormat="1" applyFill="1" applyAlignment="1" applyProtection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3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33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4" fontId="0" fillId="0" borderId="0" xfId="1" applyFont="1"/>
    <xf numFmtId="44" fontId="13" fillId="33" borderId="0" xfId="1" applyFont="1" applyFill="1" applyAlignment="1">
      <alignment horizontal="center" vertical="center"/>
    </xf>
    <xf numFmtId="44" fontId="16" fillId="0" borderId="0" xfId="1" applyFont="1" applyAlignment="1">
      <alignment horizontal="center" vertical="center" wrapText="1"/>
    </xf>
    <xf numFmtId="4" fontId="0" fillId="0" borderId="0" xfId="0" applyNumberFormat="1"/>
    <xf numFmtId="10" fontId="0" fillId="0" borderId="0" xfId="44" applyNumberFormat="1" applyFont="1"/>
    <xf numFmtId="10" fontId="13" fillId="33" borderId="0" xfId="44" applyNumberFormat="1" applyFont="1" applyFill="1" applyAlignment="1">
      <alignment horizontal="center" vertical="center"/>
    </xf>
    <xf numFmtId="10" fontId="16" fillId="0" borderId="0" xfId="44" applyNumberFormat="1" applyFont="1" applyAlignment="1">
      <alignment horizontal="center" vertical="center" wrapText="1"/>
    </xf>
    <xf numFmtId="0" fontId="13" fillId="33" borderId="0" xfId="0" applyFont="1" applyFill="1" applyAlignment="1">
      <alignment horizontal="center" vertical="center" wrapText="1"/>
    </xf>
    <xf numFmtId="4" fontId="13" fillId="33" borderId="0" xfId="0" applyNumberFormat="1" applyFont="1" applyFill="1" applyAlignment="1">
      <alignment horizontal="center" vertical="center" wrapText="1"/>
    </xf>
    <xf numFmtId="44" fontId="13" fillId="33" borderId="0" xfId="1" applyFont="1" applyFill="1" applyAlignment="1">
      <alignment horizontal="center" vertical="center" wrapText="1"/>
    </xf>
    <xf numFmtId="10" fontId="13" fillId="33" borderId="0" xfId="44" applyNumberFormat="1" applyFont="1" applyFill="1" applyAlignment="1">
      <alignment horizontal="center" vertical="center" wrapText="1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erekening" xfId="12" builtinId="22" customBuiltin="1"/>
    <cellStyle name="Controlecel" xfId="14" builtinId="23" customBuiltin="1"/>
    <cellStyle name="Gekoppelde cel" xfId="13" builtinId="24" customBuiltin="1"/>
    <cellStyle name="Goed" xfId="7" builtinId="26" customBuiltin="1"/>
    <cellStyle name="Invoer" xfId="10" builtinId="20" customBuiltin="1"/>
    <cellStyle name="Kop 1" xfId="3" builtinId="16" customBuiltin="1"/>
    <cellStyle name="Kop 2" xfId="4" builtinId="17" customBuiltin="1"/>
    <cellStyle name="Kop 3" xfId="5" builtinId="18" customBuiltin="1"/>
    <cellStyle name="Kop 4" xfId="6" builtinId="19" customBuiltin="1"/>
    <cellStyle name="Neutraal" xfId="9" builtinId="28" customBuiltin="1"/>
    <cellStyle name="Notitie" xfId="16" builtinId="10" customBuiltin="1"/>
    <cellStyle name="Ongeldig" xfId="8" builtinId="27" customBuiltin="1"/>
    <cellStyle name="Procent" xfId="44" builtinId="5"/>
    <cellStyle name="Standaard" xfId="0" builtinId="0"/>
    <cellStyle name="Standaard 2" xfId="43"/>
    <cellStyle name="Titel" xfId="2" builtinId="15" customBuiltin="1"/>
    <cellStyle name="Totaal" xfId="18" builtinId="25" customBuiltin="1"/>
    <cellStyle name="Uitvoer" xfId="11" builtinId="21" customBuiltin="1"/>
    <cellStyle name="Valuta" xfId="1" builtinId="4"/>
    <cellStyle name="Verklarende tekst" xfId="17" builtinId="53" customBuiltin="1"/>
    <cellStyle name="Waarschuwingsteks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198120</xdr:colOff>
          <xdr:row>0</xdr:row>
          <xdr:rowOff>76200</xdr:rowOff>
        </xdr:from>
        <xdr:to>
          <xdr:col>2</xdr:col>
          <xdr:colOff>525780</xdr:colOff>
          <xdr:row>2</xdr:row>
          <xdr:rowOff>106680</xdr:rowOff>
        </xdr:to>
        <xdr:sp macro="" textlink="">
          <xdr:nvSpPr>
            <xdr:cNvPr id="3073" name="Inladen_command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FF0000"/>
  </sheetPr>
  <dimension ref="A1:A22"/>
  <sheetViews>
    <sheetView tabSelected="1" workbookViewId="0">
      <selection activeCell="B8" sqref="B8"/>
    </sheetView>
  </sheetViews>
  <sheetFormatPr defaultRowHeight="14.4" x14ac:dyDescent="0.3"/>
  <cols>
    <col min="1" max="1" width="34.33203125" customWidth="1"/>
  </cols>
  <sheetData>
    <row r="1" spans="1:1" x14ac:dyDescent="0.3">
      <c r="A1" s="17" t="s">
        <v>21</v>
      </c>
    </row>
    <row r="2" spans="1:1" x14ac:dyDescent="0.3">
      <c r="A2" t="s">
        <v>19</v>
      </c>
    </row>
    <row r="3" spans="1:1" x14ac:dyDescent="0.3">
      <c r="A3" t="s">
        <v>20</v>
      </c>
    </row>
    <row r="5" spans="1:1" x14ac:dyDescent="0.3">
      <c r="A5" s="17" t="s">
        <v>18</v>
      </c>
    </row>
    <row r="6" spans="1:1" x14ac:dyDescent="0.3">
      <c r="A6" s="18" t="s">
        <v>23</v>
      </c>
    </row>
    <row r="7" spans="1:1" x14ac:dyDescent="0.3">
      <c r="A7" t="s">
        <v>29</v>
      </c>
    </row>
    <row r="8" spans="1:1" x14ac:dyDescent="0.3">
      <c r="A8" s="19" t="s">
        <v>30</v>
      </c>
    </row>
    <row r="9" spans="1:1" x14ac:dyDescent="0.3">
      <c r="A9" s="19" t="s">
        <v>31</v>
      </c>
    </row>
    <row r="10" spans="1:1" x14ac:dyDescent="0.3">
      <c r="A10" s="19"/>
    </row>
    <row r="11" spans="1:1" x14ac:dyDescent="0.3">
      <c r="A11" s="18" t="s">
        <v>24</v>
      </c>
    </row>
    <row r="12" spans="1:1" x14ac:dyDescent="0.3">
      <c r="A12" t="s">
        <v>22</v>
      </c>
    </row>
    <row r="13" spans="1:1" x14ac:dyDescent="0.3">
      <c r="A13" t="s">
        <v>26</v>
      </c>
    </row>
    <row r="14" spans="1:1" x14ac:dyDescent="0.3">
      <c r="A14" t="s">
        <v>27</v>
      </c>
    </row>
    <row r="15" spans="1:1" x14ac:dyDescent="0.3">
      <c r="A15" t="s">
        <v>28</v>
      </c>
    </row>
    <row r="17" spans="1:1" x14ac:dyDescent="0.3">
      <c r="A17" s="18" t="s">
        <v>25</v>
      </c>
    </row>
    <row r="18" spans="1:1" x14ac:dyDescent="0.3">
      <c r="A18" t="s">
        <v>60</v>
      </c>
    </row>
    <row r="19" spans="1:1" x14ac:dyDescent="0.3">
      <c r="A19" t="s">
        <v>59</v>
      </c>
    </row>
    <row r="21" spans="1:1" x14ac:dyDescent="0.3">
      <c r="A21" s="18" t="s">
        <v>57</v>
      </c>
    </row>
    <row r="22" spans="1:1" x14ac:dyDescent="0.3">
      <c r="A22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6"/>
  </sheetPr>
  <dimension ref="A1:D30"/>
  <sheetViews>
    <sheetView workbookViewId="0">
      <selection activeCell="F10" sqref="F10"/>
    </sheetView>
  </sheetViews>
  <sheetFormatPr defaultRowHeight="14.4" x14ac:dyDescent="0.3"/>
  <cols>
    <col min="1" max="1" width="19.77734375" customWidth="1"/>
    <col min="2" max="2" width="11.6640625" customWidth="1"/>
    <col min="3" max="3" width="13.6640625" customWidth="1"/>
    <col min="4" max="4" width="20.88671875" customWidth="1"/>
  </cols>
  <sheetData>
    <row r="1" spans="1:4" x14ac:dyDescent="0.3">
      <c r="A1" s="5">
        <v>43347</v>
      </c>
      <c r="B1" s="29" t="s">
        <v>1</v>
      </c>
      <c r="C1" s="29"/>
      <c r="D1" s="30"/>
    </row>
    <row r="2" spans="1:4" ht="15" thickBot="1" x14ac:dyDescent="0.35">
      <c r="A2" s="24" t="s">
        <v>2</v>
      </c>
      <c r="B2" s="25" t="s">
        <v>3</v>
      </c>
      <c r="C2" s="25" t="s">
        <v>4</v>
      </c>
      <c r="D2" s="26" t="s">
        <v>5</v>
      </c>
    </row>
    <row r="3" spans="1:4" ht="15" thickTop="1" x14ac:dyDescent="0.3">
      <c r="A3" s="20" t="s">
        <v>32</v>
      </c>
      <c r="B3" s="21">
        <v>55000</v>
      </c>
      <c r="C3" s="22">
        <v>0.3</v>
      </c>
      <c r="D3" s="23">
        <f>C3*B3</f>
        <v>16500</v>
      </c>
    </row>
    <row r="4" spans="1:4" x14ac:dyDescent="0.3">
      <c r="A4" s="6" t="s">
        <v>17</v>
      </c>
      <c r="B4" s="3">
        <v>50000</v>
      </c>
      <c r="C4" s="4">
        <v>0.4</v>
      </c>
      <c r="D4" s="7">
        <f t="shared" ref="D4:D15" si="0">C4*B4</f>
        <v>20000</v>
      </c>
    </row>
    <row r="5" spans="1:4" x14ac:dyDescent="0.3">
      <c r="A5" s="6" t="s">
        <v>33</v>
      </c>
      <c r="B5" s="3">
        <v>15000</v>
      </c>
      <c r="C5" s="4">
        <v>2.2000000000000002</v>
      </c>
      <c r="D5" s="7">
        <f t="shared" si="0"/>
        <v>33000</v>
      </c>
    </row>
    <row r="6" spans="1:4" x14ac:dyDescent="0.3">
      <c r="A6" s="6" t="s">
        <v>34</v>
      </c>
      <c r="B6" s="3">
        <v>13000</v>
      </c>
      <c r="C6" s="4">
        <v>0.6</v>
      </c>
      <c r="D6" s="7">
        <f t="shared" si="0"/>
        <v>7800</v>
      </c>
    </row>
    <row r="7" spans="1:4" x14ac:dyDescent="0.3">
      <c r="A7" s="6" t="s">
        <v>35</v>
      </c>
      <c r="B7" s="3">
        <v>25000</v>
      </c>
      <c r="C7" s="4">
        <v>2.5</v>
      </c>
      <c r="D7" s="7">
        <f>C7*B7</f>
        <v>62500</v>
      </c>
    </row>
    <row r="8" spans="1:4" x14ac:dyDescent="0.3">
      <c r="A8" s="6" t="s">
        <v>36</v>
      </c>
      <c r="B8" s="3">
        <v>13000</v>
      </c>
      <c r="C8" s="4">
        <v>2.5</v>
      </c>
      <c r="D8" s="7">
        <f t="shared" si="0"/>
        <v>32500</v>
      </c>
    </row>
    <row r="9" spans="1:4" x14ac:dyDescent="0.3">
      <c r="A9" s="6" t="s">
        <v>37</v>
      </c>
      <c r="B9" s="3">
        <v>18000</v>
      </c>
      <c r="C9" s="4">
        <v>4.5999999999999996</v>
      </c>
      <c r="D9" s="7">
        <f t="shared" si="0"/>
        <v>82800</v>
      </c>
    </row>
    <row r="10" spans="1:4" x14ac:dyDescent="0.3">
      <c r="A10" s="6" t="s">
        <v>38</v>
      </c>
      <c r="B10" s="3">
        <v>10000</v>
      </c>
      <c r="C10" s="4">
        <f>200/1000</f>
        <v>0.2</v>
      </c>
      <c r="D10" s="7">
        <f t="shared" si="0"/>
        <v>2000</v>
      </c>
    </row>
    <row r="11" spans="1:4" x14ac:dyDescent="0.3">
      <c r="A11" s="6" t="s">
        <v>39</v>
      </c>
      <c r="B11" s="3">
        <v>10000</v>
      </c>
      <c r="C11" s="4">
        <f>180/1000</f>
        <v>0.18</v>
      </c>
      <c r="D11" s="7">
        <f t="shared" si="0"/>
        <v>1800</v>
      </c>
    </row>
    <row r="12" spans="1:4" x14ac:dyDescent="0.3">
      <c r="A12" s="6" t="s">
        <v>40</v>
      </c>
      <c r="B12" s="3">
        <v>10000</v>
      </c>
      <c r="C12" s="4">
        <f>180/1000</f>
        <v>0.18</v>
      </c>
      <c r="D12" s="7">
        <f t="shared" si="0"/>
        <v>1800</v>
      </c>
    </row>
    <row r="13" spans="1:4" x14ac:dyDescent="0.3">
      <c r="A13" s="6" t="s">
        <v>12</v>
      </c>
      <c r="B13" s="3">
        <v>100000</v>
      </c>
      <c r="C13" s="4">
        <f>28/1000</f>
        <v>2.8000000000000001E-2</v>
      </c>
      <c r="D13" s="7">
        <f t="shared" si="0"/>
        <v>2800</v>
      </c>
    </row>
    <row r="14" spans="1:4" x14ac:dyDescent="0.3">
      <c r="A14" s="6" t="s">
        <v>16</v>
      </c>
      <c r="B14" s="3">
        <v>65000</v>
      </c>
      <c r="C14" s="4">
        <f>52/1000</f>
        <v>5.1999999999999998E-2</v>
      </c>
      <c r="D14" s="7">
        <f t="shared" si="0"/>
        <v>3380</v>
      </c>
    </row>
    <row r="15" spans="1:4" x14ac:dyDescent="0.3">
      <c r="A15" s="6" t="s">
        <v>13</v>
      </c>
      <c r="B15" s="3">
        <v>55000</v>
      </c>
      <c r="C15" s="4">
        <v>0.1</v>
      </c>
      <c r="D15" s="7">
        <f t="shared" si="0"/>
        <v>5500</v>
      </c>
    </row>
    <row r="16" spans="1:4" x14ac:dyDescent="0.3">
      <c r="A16" s="6" t="s">
        <v>15</v>
      </c>
      <c r="B16" s="2" t="s">
        <v>6</v>
      </c>
      <c r="C16" s="2" t="s">
        <v>6</v>
      </c>
      <c r="D16" s="8">
        <v>3000</v>
      </c>
    </row>
    <row r="17" spans="1:4" x14ac:dyDescent="0.3">
      <c r="A17" s="6" t="s">
        <v>41</v>
      </c>
      <c r="B17" s="2" t="s">
        <v>6</v>
      </c>
      <c r="C17" s="2" t="s">
        <v>6</v>
      </c>
      <c r="D17" s="8">
        <v>3000</v>
      </c>
    </row>
    <row r="18" spans="1:4" x14ac:dyDescent="0.3">
      <c r="A18" s="6" t="s">
        <v>14</v>
      </c>
      <c r="B18" s="2" t="s">
        <v>6</v>
      </c>
      <c r="C18" s="2" t="s">
        <v>6</v>
      </c>
      <c r="D18" s="8">
        <v>4500</v>
      </c>
    </row>
    <row r="19" spans="1:4" x14ac:dyDescent="0.3">
      <c r="A19" s="6" t="s">
        <v>11</v>
      </c>
      <c r="B19" s="2" t="s">
        <v>6</v>
      </c>
      <c r="C19" s="2" t="s">
        <v>6</v>
      </c>
      <c r="D19" s="8">
        <v>1600</v>
      </c>
    </row>
    <row r="20" spans="1:4" x14ac:dyDescent="0.3">
      <c r="A20" s="6" t="s">
        <v>0</v>
      </c>
      <c r="B20" s="2" t="s">
        <v>6</v>
      </c>
      <c r="C20" s="2" t="s">
        <v>6</v>
      </c>
      <c r="D20" s="8">
        <v>1200</v>
      </c>
    </row>
    <row r="21" spans="1:4" x14ac:dyDescent="0.3">
      <c r="A21" s="6" t="s">
        <v>43</v>
      </c>
      <c r="B21" s="2" t="s">
        <v>6</v>
      </c>
      <c r="C21" s="2" t="s">
        <v>6</v>
      </c>
      <c r="D21" s="8">
        <v>5500</v>
      </c>
    </row>
    <row r="22" spans="1:4" x14ac:dyDescent="0.3">
      <c r="A22" s="6" t="s">
        <v>44</v>
      </c>
      <c r="B22" s="2" t="s">
        <v>6</v>
      </c>
      <c r="C22" s="2" t="s">
        <v>6</v>
      </c>
      <c r="D22" s="8">
        <v>1800</v>
      </c>
    </row>
    <row r="23" spans="1:4" x14ac:dyDescent="0.3">
      <c r="A23" s="6" t="s">
        <v>45</v>
      </c>
      <c r="B23" s="2" t="s">
        <v>6</v>
      </c>
      <c r="C23" s="2" t="s">
        <v>6</v>
      </c>
      <c r="D23" s="9"/>
    </row>
    <row r="24" spans="1:4" x14ac:dyDescent="0.3">
      <c r="A24" s="13" t="s">
        <v>46</v>
      </c>
      <c r="B24" s="2" t="s">
        <v>6</v>
      </c>
      <c r="C24" s="2" t="s">
        <v>6</v>
      </c>
      <c r="D24" s="14"/>
    </row>
    <row r="25" spans="1:4" ht="15" thickBot="1" x14ac:dyDescent="0.35">
      <c r="A25" s="10" t="s">
        <v>47</v>
      </c>
      <c r="B25" s="11" t="s">
        <v>6</v>
      </c>
      <c r="C25" s="11" t="s">
        <v>6</v>
      </c>
      <c r="D25" s="12"/>
    </row>
    <row r="28" spans="1:4" x14ac:dyDescent="0.3">
      <c r="A28" s="15" t="s">
        <v>9</v>
      </c>
    </row>
    <row r="29" spans="1:4" x14ac:dyDescent="0.3">
      <c r="A29" s="15" t="s">
        <v>10</v>
      </c>
    </row>
    <row r="30" spans="1:4" x14ac:dyDescent="0.3">
      <c r="A30" s="15" t="s">
        <v>42</v>
      </c>
    </row>
  </sheetData>
  <mergeCells count="1">
    <mergeCell ref="B1:D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theme="6"/>
  </sheetPr>
  <dimension ref="A1:N35"/>
  <sheetViews>
    <sheetView workbookViewId="0">
      <selection activeCell="B5" sqref="B5"/>
    </sheetView>
  </sheetViews>
  <sheetFormatPr defaultRowHeight="14.4" x14ac:dyDescent="0.3"/>
  <cols>
    <col min="1" max="1" width="9.33203125" style="16" bestFit="1" customWidth="1"/>
    <col min="2" max="2" width="18.6640625" style="16" bestFit="1" customWidth="1"/>
    <col min="3" max="3" width="9.33203125" style="16" bestFit="1" customWidth="1"/>
    <col min="4" max="4" width="26.88671875" style="16" bestFit="1" customWidth="1"/>
    <col min="5" max="5" width="5" style="16" bestFit="1" customWidth="1"/>
    <col min="6" max="6" width="12" style="16" bestFit="1" customWidth="1"/>
    <col min="7" max="7" width="18.109375" style="16" bestFit="1" customWidth="1"/>
    <col min="8" max="8" width="17.88671875" style="16" bestFit="1" customWidth="1"/>
    <col min="9" max="9" width="15.88671875" style="16" bestFit="1" customWidth="1"/>
    <col min="10" max="10" width="13.6640625" style="16" bestFit="1" customWidth="1"/>
    <col min="11" max="11" width="33.109375" style="16" bestFit="1" customWidth="1"/>
    <col min="12" max="12" width="37.44140625" style="16" bestFit="1" customWidth="1"/>
    <col min="13" max="13" width="12.5546875" style="16" bestFit="1" customWidth="1"/>
    <col min="14" max="14" width="14.5546875" style="16" bestFit="1" customWidth="1"/>
    <col min="15" max="16384" width="8.88671875" style="16"/>
  </cols>
  <sheetData>
    <row r="1" spans="1:14" x14ac:dyDescent="0.3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x14ac:dyDescent="0.3">
      <c r="A2" s="27"/>
      <c r="B2" s="27"/>
      <c r="C2" s="27"/>
      <c r="D2" s="27"/>
      <c r="E2" s="27"/>
      <c r="F2" s="27"/>
      <c r="G2" s="27"/>
      <c r="H2" s="27"/>
      <c r="I2" s="28"/>
      <c r="J2" s="27"/>
      <c r="K2" s="27"/>
      <c r="L2" s="27"/>
      <c r="M2" s="27"/>
      <c r="N2" s="27"/>
    </row>
    <row r="3" spans="1:14" x14ac:dyDescent="0.3">
      <c r="A3" s="27"/>
      <c r="B3" s="27"/>
      <c r="C3" s="27"/>
      <c r="D3" s="27"/>
      <c r="E3" s="27"/>
      <c r="F3" s="27"/>
      <c r="G3" s="27"/>
      <c r="H3" s="27"/>
      <c r="I3" s="28"/>
      <c r="J3" s="27"/>
      <c r="K3" s="27"/>
      <c r="L3" s="27"/>
      <c r="M3" s="27"/>
      <c r="N3" s="27"/>
    </row>
    <row r="4" spans="1:14" x14ac:dyDescent="0.3">
      <c r="A4" s="27"/>
      <c r="B4" s="27"/>
      <c r="C4" s="27"/>
      <c r="D4" s="27"/>
      <c r="E4" s="27"/>
      <c r="F4" s="27"/>
      <c r="G4" s="27"/>
      <c r="H4" s="27"/>
      <c r="I4" s="28"/>
      <c r="J4" s="27"/>
      <c r="K4" s="27"/>
      <c r="L4" s="27"/>
      <c r="M4" s="27"/>
      <c r="N4" s="27"/>
    </row>
    <row r="5" spans="1:14" x14ac:dyDescent="0.3">
      <c r="A5" s="27"/>
      <c r="B5" s="27"/>
      <c r="C5" s="27"/>
      <c r="D5" s="27"/>
      <c r="E5" s="27"/>
      <c r="F5" s="27"/>
      <c r="G5" s="27"/>
      <c r="H5" s="27"/>
      <c r="I5" s="28"/>
      <c r="J5" s="27"/>
      <c r="K5" s="27"/>
      <c r="L5" s="27"/>
      <c r="M5" s="27"/>
      <c r="N5" s="27"/>
    </row>
    <row r="6" spans="1:14" x14ac:dyDescent="0.3">
      <c r="A6" s="27"/>
      <c r="B6" s="27"/>
      <c r="C6" s="27"/>
      <c r="D6" s="27"/>
      <c r="E6" s="27"/>
      <c r="F6" s="27"/>
      <c r="G6" s="27"/>
      <c r="H6" s="27"/>
      <c r="I6" s="28"/>
      <c r="J6" s="27"/>
      <c r="K6" s="27"/>
      <c r="L6" s="27"/>
      <c r="M6" s="27"/>
      <c r="N6" s="27"/>
    </row>
    <row r="7" spans="1:14" x14ac:dyDescent="0.3">
      <c r="A7" s="27"/>
      <c r="B7" s="27"/>
      <c r="C7" s="27"/>
      <c r="D7" s="27"/>
      <c r="E7" s="27"/>
      <c r="F7" s="27"/>
      <c r="G7" s="27"/>
      <c r="H7" s="27"/>
      <c r="I7" s="28"/>
      <c r="J7" s="27"/>
      <c r="K7" s="27"/>
      <c r="L7" s="27"/>
      <c r="M7" s="27"/>
      <c r="N7" s="27"/>
    </row>
    <row r="8" spans="1:14" x14ac:dyDescent="0.3">
      <c r="A8" s="27"/>
      <c r="B8" s="27"/>
      <c r="C8" s="27"/>
      <c r="D8" s="27"/>
      <c r="E8" s="27"/>
      <c r="F8" s="27"/>
      <c r="G8" s="27"/>
      <c r="H8" s="27"/>
      <c r="I8" s="28"/>
      <c r="J8" s="27"/>
      <c r="K8" s="27"/>
      <c r="L8" s="27"/>
      <c r="M8" s="27"/>
      <c r="N8" s="27"/>
    </row>
    <row r="9" spans="1:14" x14ac:dyDescent="0.3">
      <c r="A9" s="27"/>
      <c r="B9" s="27"/>
      <c r="C9" s="27"/>
      <c r="D9" s="27"/>
      <c r="E9" s="27"/>
      <c r="F9" s="27"/>
      <c r="G9" s="27"/>
      <c r="H9" s="27"/>
      <c r="I9" s="28"/>
      <c r="J9" s="27"/>
      <c r="K9" s="27"/>
      <c r="L9" s="27"/>
      <c r="M9" s="27"/>
      <c r="N9" s="27"/>
    </row>
    <row r="10" spans="1:14" x14ac:dyDescent="0.3">
      <c r="A10" s="27"/>
      <c r="B10" s="27"/>
      <c r="C10" s="27"/>
      <c r="D10" s="27"/>
      <c r="E10" s="27"/>
      <c r="F10" s="27"/>
      <c r="G10" s="27"/>
      <c r="H10" s="27"/>
      <c r="I10" s="28"/>
      <c r="J10" s="27"/>
      <c r="K10" s="27"/>
      <c r="L10" s="27"/>
      <c r="M10" s="27"/>
      <c r="N10" s="27"/>
    </row>
    <row r="11" spans="1:14" x14ac:dyDescent="0.3">
      <c r="A11" s="27"/>
      <c r="B11" s="27"/>
      <c r="C11" s="27"/>
      <c r="D11" s="27"/>
      <c r="E11" s="27"/>
      <c r="F11" s="27"/>
      <c r="G11" s="27"/>
      <c r="H11" s="27"/>
      <c r="I11" s="28"/>
      <c r="J11" s="27"/>
      <c r="K11" s="27"/>
      <c r="L11" s="27"/>
      <c r="M11" s="27"/>
      <c r="N11" s="27"/>
    </row>
    <row r="12" spans="1:14" x14ac:dyDescent="0.3">
      <c r="A12" s="27"/>
      <c r="B12" s="27"/>
      <c r="C12" s="27"/>
      <c r="D12" s="27"/>
      <c r="E12" s="27"/>
      <c r="F12" s="27"/>
      <c r="G12" s="27"/>
      <c r="H12" s="27"/>
      <c r="I12" s="28"/>
      <c r="J12" s="27"/>
      <c r="K12" s="27"/>
      <c r="L12" s="27"/>
      <c r="M12" s="27"/>
      <c r="N12" s="27"/>
    </row>
    <row r="13" spans="1:14" x14ac:dyDescent="0.3">
      <c r="A13" s="27"/>
      <c r="B13" s="27"/>
      <c r="C13" s="27"/>
      <c r="D13" s="27"/>
      <c r="E13" s="27"/>
      <c r="F13" s="27"/>
      <c r="G13" s="27"/>
      <c r="H13" s="27"/>
      <c r="I13" s="28"/>
      <c r="J13" s="27"/>
      <c r="K13" s="27"/>
      <c r="L13" s="27"/>
      <c r="M13" s="27"/>
      <c r="N13" s="27"/>
    </row>
    <row r="14" spans="1:14" x14ac:dyDescent="0.3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</row>
    <row r="15" spans="1:14" x14ac:dyDescent="0.3">
      <c r="A15" s="27"/>
      <c r="B15" s="27"/>
      <c r="C15" s="27"/>
      <c r="D15" s="27"/>
      <c r="E15" s="27"/>
      <c r="F15" s="27"/>
      <c r="G15" s="27"/>
      <c r="H15" s="27"/>
      <c r="I15" s="28"/>
      <c r="J15" s="27"/>
      <c r="K15" s="27"/>
      <c r="L15" s="27"/>
      <c r="M15" s="27"/>
      <c r="N15" s="27"/>
    </row>
    <row r="16" spans="1:14" x14ac:dyDescent="0.3">
      <c r="A16" s="27"/>
      <c r="B16" s="27"/>
      <c r="C16" s="27"/>
      <c r="D16" s="27"/>
      <c r="E16" s="27"/>
      <c r="F16" s="27"/>
      <c r="G16" s="27"/>
      <c r="H16" s="27"/>
      <c r="I16" s="28"/>
      <c r="J16" s="27"/>
      <c r="K16" s="27"/>
      <c r="L16" s="27"/>
      <c r="M16" s="27"/>
      <c r="N16" s="27"/>
    </row>
    <row r="17" spans="1:14" x14ac:dyDescent="0.3">
      <c r="A17" s="27"/>
      <c r="B17" s="27"/>
      <c r="C17" s="27"/>
      <c r="D17" s="27"/>
      <c r="E17" s="27"/>
      <c r="F17" s="27"/>
      <c r="G17" s="27"/>
      <c r="H17" s="27"/>
      <c r="I17" s="28"/>
      <c r="J17" s="27"/>
      <c r="K17" s="27"/>
      <c r="L17" s="27"/>
      <c r="M17" s="27"/>
      <c r="N17" s="27"/>
    </row>
    <row r="18" spans="1:14" x14ac:dyDescent="0.3">
      <c r="A18" s="27"/>
      <c r="B18" s="27"/>
      <c r="C18" s="27"/>
      <c r="D18" s="27"/>
      <c r="E18" s="27"/>
      <c r="F18" s="27"/>
      <c r="G18" s="27"/>
      <c r="H18" s="27"/>
      <c r="I18" s="28"/>
      <c r="J18" s="27"/>
      <c r="K18" s="27"/>
      <c r="L18" s="27"/>
      <c r="M18" s="27"/>
      <c r="N18" s="27"/>
    </row>
    <row r="19" spans="1:14" x14ac:dyDescent="0.3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</row>
    <row r="20" spans="1:14" x14ac:dyDescent="0.3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</row>
    <row r="21" spans="1:14" x14ac:dyDescent="0.3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</row>
    <row r="22" spans="1:14" x14ac:dyDescent="0.3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</row>
    <row r="23" spans="1:14" x14ac:dyDescent="0.3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</row>
    <row r="24" spans="1:14" x14ac:dyDescent="0.3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1:14" x14ac:dyDescent="0.3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</row>
    <row r="26" spans="1:14" x14ac:dyDescent="0.3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</row>
    <row r="27" spans="1:14" x14ac:dyDescent="0.3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</row>
    <row r="28" spans="1:14" x14ac:dyDescent="0.3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</row>
    <row r="29" spans="1:14" x14ac:dyDescent="0.3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</row>
    <row r="30" spans="1:14" x14ac:dyDescent="0.3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</row>
    <row r="31" spans="1:14" x14ac:dyDescent="0.3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</row>
    <row r="32" spans="1:14" x14ac:dyDescent="0.3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</row>
    <row r="33" spans="1:14" x14ac:dyDescent="0.3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</row>
    <row r="34" spans="1:14" x14ac:dyDescent="0.3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</row>
    <row r="35" spans="1:14" x14ac:dyDescent="0.3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theme="6"/>
  </sheetPr>
  <dimension ref="A1:K5"/>
  <sheetViews>
    <sheetView workbookViewId="0">
      <selection activeCell="F1" sqref="F1"/>
    </sheetView>
  </sheetViews>
  <sheetFormatPr defaultRowHeight="14.4" x14ac:dyDescent="0.3"/>
  <cols>
    <col min="3" max="3" width="18.77734375" bestFit="1" customWidth="1"/>
    <col min="5" max="5" width="16.33203125" bestFit="1" customWidth="1"/>
    <col min="6" max="6" width="16.21875" bestFit="1" customWidth="1"/>
    <col min="7" max="7" width="10.21875" customWidth="1"/>
    <col min="8" max="8" width="11.88671875" style="36" customWidth="1"/>
    <col min="9" max="9" width="16.33203125" bestFit="1" customWidth="1"/>
    <col min="10" max="10" width="13.6640625" customWidth="1"/>
    <col min="11" max="11" width="12.88671875" style="40" customWidth="1"/>
  </cols>
  <sheetData>
    <row r="1" spans="1:11" x14ac:dyDescent="0.3">
      <c r="D1" t="s">
        <v>7</v>
      </c>
      <c r="E1" s="1">
        <v>43371</v>
      </c>
    </row>
    <row r="2" spans="1:11" x14ac:dyDescent="0.3">
      <c r="D2" t="s">
        <v>8</v>
      </c>
      <c r="E2" s="1">
        <f>Teelten!A1</f>
        <v>43347</v>
      </c>
    </row>
    <row r="4" spans="1:11" s="32" customFormat="1" x14ac:dyDescent="0.3">
      <c r="A4" s="31" t="s">
        <v>52</v>
      </c>
      <c r="B4" s="31" t="s">
        <v>52</v>
      </c>
      <c r="C4" s="31" t="s">
        <v>52</v>
      </c>
      <c r="D4" s="31" t="s">
        <v>52</v>
      </c>
      <c r="E4" s="31" t="s">
        <v>52</v>
      </c>
      <c r="F4" s="31" t="s">
        <v>52</v>
      </c>
      <c r="G4" s="31" t="s">
        <v>52</v>
      </c>
      <c r="H4" s="37" t="s">
        <v>53</v>
      </c>
      <c r="I4" s="33" t="s">
        <v>53</v>
      </c>
      <c r="J4" s="33" t="s">
        <v>53</v>
      </c>
      <c r="K4" s="41" t="s">
        <v>53</v>
      </c>
    </row>
    <row r="5" spans="1:11" s="35" customFormat="1" ht="28.8" x14ac:dyDescent="0.3">
      <c r="A5" s="34"/>
      <c r="B5" s="34"/>
      <c r="C5" s="34"/>
      <c r="D5" s="34"/>
      <c r="E5" s="34"/>
      <c r="F5" s="34"/>
      <c r="G5" s="34"/>
      <c r="H5" s="38" t="s">
        <v>48</v>
      </c>
      <c r="I5" s="34" t="s">
        <v>49</v>
      </c>
      <c r="J5" s="34" t="s">
        <v>50</v>
      </c>
      <c r="K5" s="42" t="s">
        <v>51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Inladen_command">
          <controlPr defaultSize="0" autoLine="0" r:id="rId5">
            <anchor moveWithCells="1">
              <from>
                <xdr:col>0</xdr:col>
                <xdr:colOff>198120</xdr:colOff>
                <xdr:row>0</xdr:row>
                <xdr:rowOff>76200</xdr:rowOff>
              </from>
              <to>
                <xdr:col>2</xdr:col>
                <xdr:colOff>525780</xdr:colOff>
                <xdr:row>2</xdr:row>
                <xdr:rowOff>106680</xdr:rowOff>
              </to>
            </anchor>
          </controlPr>
        </control>
      </mc:Choice>
      <mc:Fallback>
        <control shapeId="3073" r:id="rId4" name="Inladen_command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>
    <tabColor rgb="FF0070C0"/>
  </sheetPr>
  <dimension ref="A1:D24"/>
  <sheetViews>
    <sheetView workbookViewId="0">
      <selection activeCell="G9" sqref="G9"/>
    </sheetView>
  </sheetViews>
  <sheetFormatPr defaultRowHeight="14.4" x14ac:dyDescent="0.3"/>
  <cols>
    <col min="1" max="1" width="16.21875" bestFit="1" customWidth="1"/>
    <col min="2" max="2" width="8.88671875" style="39"/>
    <col min="3" max="3" width="8.88671875" style="36"/>
    <col min="4" max="4" width="8.88671875" style="40"/>
  </cols>
  <sheetData>
    <row r="1" spans="1:4" ht="28.8" x14ac:dyDescent="0.3">
      <c r="A1" s="43" t="s">
        <v>55</v>
      </c>
      <c r="B1" s="44" t="s">
        <v>54</v>
      </c>
      <c r="C1" s="45" t="s">
        <v>48</v>
      </c>
      <c r="D1" s="46" t="s">
        <v>56</v>
      </c>
    </row>
    <row r="2" spans="1:4" x14ac:dyDescent="0.3">
      <c r="A2" t="s">
        <v>32</v>
      </c>
    </row>
    <row r="3" spans="1:4" x14ac:dyDescent="0.3">
      <c r="A3" t="s">
        <v>17</v>
      </c>
    </row>
    <row r="4" spans="1:4" x14ac:dyDescent="0.3">
      <c r="A4" t="s">
        <v>33</v>
      </c>
    </row>
    <row r="5" spans="1:4" x14ac:dyDescent="0.3">
      <c r="A5" t="s">
        <v>34</v>
      </c>
    </row>
    <row r="6" spans="1:4" x14ac:dyDescent="0.3">
      <c r="A6" t="s">
        <v>35</v>
      </c>
    </row>
    <row r="7" spans="1:4" x14ac:dyDescent="0.3">
      <c r="A7" t="s">
        <v>36</v>
      </c>
    </row>
    <row r="8" spans="1:4" x14ac:dyDescent="0.3">
      <c r="A8" t="s">
        <v>37</v>
      </c>
    </row>
    <row r="9" spans="1:4" x14ac:dyDescent="0.3">
      <c r="A9" t="s">
        <v>38</v>
      </c>
    </row>
    <row r="10" spans="1:4" x14ac:dyDescent="0.3">
      <c r="A10" t="s">
        <v>39</v>
      </c>
    </row>
    <row r="11" spans="1:4" x14ac:dyDescent="0.3">
      <c r="A11" t="s">
        <v>40</v>
      </c>
    </row>
    <row r="12" spans="1:4" x14ac:dyDescent="0.3">
      <c r="A12" t="s">
        <v>12</v>
      </c>
    </row>
    <row r="13" spans="1:4" x14ac:dyDescent="0.3">
      <c r="A13" t="s">
        <v>16</v>
      </c>
    </row>
    <row r="14" spans="1:4" x14ac:dyDescent="0.3">
      <c r="A14" t="s">
        <v>13</v>
      </c>
    </row>
    <row r="15" spans="1:4" x14ac:dyDescent="0.3">
      <c r="A15" t="s">
        <v>15</v>
      </c>
    </row>
    <row r="16" spans="1:4" x14ac:dyDescent="0.3">
      <c r="A16" t="s">
        <v>41</v>
      </c>
    </row>
    <row r="17" spans="1:1" x14ac:dyDescent="0.3">
      <c r="A17" t="s">
        <v>14</v>
      </c>
    </row>
    <row r="18" spans="1:1" x14ac:dyDescent="0.3">
      <c r="A18" t="s">
        <v>11</v>
      </c>
    </row>
    <row r="19" spans="1:1" x14ac:dyDescent="0.3">
      <c r="A19" t="s">
        <v>0</v>
      </c>
    </row>
    <row r="20" spans="1:1" x14ac:dyDescent="0.3">
      <c r="A20" t="s">
        <v>43</v>
      </c>
    </row>
    <row r="21" spans="1:1" x14ac:dyDescent="0.3">
      <c r="A21" t="s">
        <v>44</v>
      </c>
    </row>
    <row r="22" spans="1:1" x14ac:dyDescent="0.3">
      <c r="A22" t="s">
        <v>45</v>
      </c>
    </row>
    <row r="23" spans="1:1" x14ac:dyDescent="0.3">
      <c r="A23" t="s">
        <v>46</v>
      </c>
    </row>
    <row r="24" spans="1:1" x14ac:dyDescent="0.3">
      <c r="A24" t="s">
        <v>47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ReadMe</vt:lpstr>
      <vt:lpstr>Teelten</vt:lpstr>
      <vt:lpstr>Input</vt:lpstr>
      <vt:lpstr>Tool</vt:lpstr>
      <vt:lpstr>Res.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Segers Joris</dc:creator>
  <cp:lastModifiedBy>Segers Joris</cp:lastModifiedBy>
  <cp:lastPrinted>2018-09-28T08:57:21Z</cp:lastPrinted>
  <dcterms:created xsi:type="dcterms:W3CDTF">2018-09-04T12:11:01Z</dcterms:created>
  <dcterms:modified xsi:type="dcterms:W3CDTF">2018-09-28T08:59:22Z</dcterms:modified>
</cp:coreProperties>
</file>