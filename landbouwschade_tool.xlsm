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92" windowWidth="22980" windowHeight="9408" activeTab="3"/>
  </bookViews>
  <sheets>
    <sheet name="ReadMe" sheetId="4" r:id="rId1"/>
    <sheet name="Teelten" sheetId="2" r:id="rId2"/>
    <sheet name="Input" sheetId="1" r:id="rId3"/>
    <sheet name="Tool" sheetId="3" r:id="rId4"/>
    <sheet name="Res." sheetId="5" r:id="rId5"/>
  </sheets>
  <definedNames>
    <definedName name="_xlnm._FilterDatabase" localSheetId="3" hidden="1">Tool!$A$4:$K$5</definedName>
  </definedNames>
  <calcPr calcId="145621"/>
</workbook>
</file>

<file path=xl/calcChain.xml><?xml version="1.0" encoding="utf-8"?>
<calcChain xmlns="http://schemas.openxmlformats.org/spreadsheetml/2006/main">
  <c r="D15" i="2" l="1"/>
  <c r="C14" i="2"/>
  <c r="D14" i="2" s="1"/>
  <c r="C13" i="2"/>
  <c r="D13" i="2" s="1"/>
  <c r="C12" i="2"/>
  <c r="D12" i="2" s="1"/>
  <c r="C11" i="2"/>
  <c r="D11" i="2" s="1"/>
  <c r="C10" i="2"/>
  <c r="D10" i="2" s="1"/>
  <c r="D9" i="2"/>
  <c r="D8" i="2"/>
  <c r="D7" i="2"/>
  <c r="D6" i="2"/>
  <c r="D5" i="2"/>
  <c r="D4" i="2"/>
  <c r="D3" i="2"/>
</calcChain>
</file>

<file path=xl/sharedStrings.xml><?xml version="1.0" encoding="utf-8"?>
<sst xmlns="http://schemas.openxmlformats.org/spreadsheetml/2006/main" count="121" uniqueCount="69">
  <si>
    <t>Grasland</t>
  </si>
  <si>
    <t>per ha</t>
  </si>
  <si>
    <t>teelten</t>
  </si>
  <si>
    <t>kg</t>
  </si>
  <si>
    <t>€/kg</t>
  </si>
  <si>
    <t xml:space="preserve">€ </t>
  </si>
  <si>
    <t>NA</t>
  </si>
  <si>
    <t>Bovenstaande tabel kan steeds aangevuld worden met andere teelten.</t>
  </si>
  <si>
    <t>Belangrijk! De tool zoekt per perceel schade (in €) op basis van de naam zoals deze hier wordt aangeduid. Het is daarom belangrijk dat in de LandBouwSchade app identiek dezelfde naam wordt gebruikt als in deze tabel.</t>
  </si>
  <si>
    <t>Mais</t>
  </si>
  <si>
    <t>Suikerbieten</t>
  </si>
  <si>
    <t>Aardappelen</t>
  </si>
  <si>
    <t>Wortelen industrie</t>
  </si>
  <si>
    <t>Bonen industrie</t>
  </si>
  <si>
    <t>Cichorei</t>
  </si>
  <si>
    <t>Peer</t>
  </si>
  <si>
    <t>Deze Excel-tool verwerkt de gegevens uit de LandBouwSchade app.</t>
  </si>
  <si>
    <t xml:space="preserve">Het resultaat is een samenvattende tabel van de schade per teelt, weergegeven in totale (€) en het gemiddelde (%).  </t>
  </si>
  <si>
    <t>In dit tabblad moet de input voor de berekening worden geplakt, d.w.z. de gegevens die ge-exporteerd worden uit de app.</t>
  </si>
  <si>
    <t>Belangrijk: indien de export een.csv-bestand is, moet dit eerst via "tekst naar kolommen" worden omgezet naar verschillende kolommen: Gegevens &gt; Tekst naar kolommen &gt; Gescheiden + volgende &gt; Komma + voltooien. Meer info via google.</t>
  </si>
  <si>
    <r>
      <t xml:space="preserve">Alle rijen en kolommen van de output moeten worden geplakt in tabblad 'Input' in </t>
    </r>
    <r>
      <rPr>
        <b/>
        <sz val="11"/>
        <color theme="1"/>
        <rFont val="Calibri"/>
        <family val="2"/>
        <scheme val="minor"/>
      </rPr>
      <t>cel A1</t>
    </r>
    <r>
      <rPr>
        <sz val="11"/>
        <color theme="1"/>
        <rFont val="Calibri"/>
        <family val="2"/>
        <scheme val="minor"/>
      </rPr>
      <t xml:space="preserve">. </t>
    </r>
  </si>
  <si>
    <t>Beste manier om zeker te zijn dat het volledig is: ga naar het Excel bestand met de output en druk 2x ctrl+A, vervolgens kopieren (ctrl+V) en plakken in cel A1 van tabblad 'Input' (ctrl+C) van dit Excel bestand.</t>
  </si>
  <si>
    <t>Dit tabblad is de berekeningsbasis voor de schade per teelt.</t>
  </si>
  <si>
    <t>De teelten en cijfers moeten jaarlijks worden gecontroleerd op wijzigingen.</t>
  </si>
  <si>
    <t>Meer info in het tabblad zelf.</t>
  </si>
  <si>
    <t>Appel</t>
  </si>
  <si>
    <t>Kersen</t>
  </si>
  <si>
    <t>Krieken</t>
  </si>
  <si>
    <t>Aardbeien</t>
  </si>
  <si>
    <t>Rode bessen</t>
  </si>
  <si>
    <t>Frambozen</t>
  </si>
  <si>
    <t>Tarwe</t>
  </si>
  <si>
    <t>Gerst</t>
  </si>
  <si>
    <t>Andere granen</t>
  </si>
  <si>
    <t>Erwten industrie</t>
  </si>
  <si>
    <t>Belangrijk! De naam van de teelt moet identiek zijn aan wat in de app staat opgelijst, zelfs hoofdlettergevoelig!</t>
  </si>
  <si>
    <t>Ajuin</t>
  </si>
  <si>
    <t>Luzerne</t>
  </si>
  <si>
    <t>Sierteelt</t>
  </si>
  <si>
    <t>Druiven</t>
  </si>
  <si>
    <t>Andere teelten</t>
  </si>
  <si>
    <t>Schade €</t>
  </si>
  <si>
    <t>HK-TotOpp teelt</t>
  </si>
  <si>
    <t>HK-factor opp</t>
  </si>
  <si>
    <t>Schade% cum.</t>
  </si>
  <si>
    <t>INPUT</t>
  </si>
  <si>
    <t>CALC</t>
  </si>
  <si>
    <t>Opp (ha)</t>
  </si>
  <si>
    <t>Teelt</t>
  </si>
  <si>
    <t>Schade % gem.</t>
  </si>
  <si>
    <t>Hier wordt de samenvattende tabel weergegeven.</t>
  </si>
  <si>
    <t xml:space="preserve">Voor elke wijziging in de invoer moet op de opdrachtknop 'Nieuwe data inladen' gedrukt worden. </t>
  </si>
  <si>
    <t xml:space="preserve">Hier wordt de berekening gemaakt door op de opdrachtknop 'Nieuwe data inladen' te drukken. </t>
  </si>
  <si>
    <t>TOTAAL</t>
  </si>
  <si>
    <t>0 ha</t>
  </si>
  <si>
    <t>Het eindresultaat is de samenvattende tabel in het blauwe tabblad 'Res.'</t>
  </si>
  <si>
    <t>Belangrijk! Controleer steeds eerst de prijzen per teelt. Bij wijziging moeten deze in bovenstaande tabel aangepast worden. Vergeet ook niet de datum in cel A1 aan te passen naar de datum van de nieuwe teeltprijzen.</t>
  </si>
  <si>
    <t>Tabblad 'Res.'</t>
  </si>
  <si>
    <t>Tabblad 'Tool'</t>
  </si>
  <si>
    <t>Tabblad 'Input'</t>
  </si>
  <si>
    <t>Tabblad 'Teelten'</t>
  </si>
  <si>
    <t>INLEIDING</t>
  </si>
  <si>
    <t>HOE WERKT HET</t>
  </si>
  <si>
    <t>RESULTAAT</t>
  </si>
  <si>
    <r>
      <t xml:space="preserve">De </t>
    </r>
    <r>
      <rPr>
        <b/>
        <sz val="11"/>
        <color theme="6"/>
        <rFont val="Calibri"/>
        <family val="2"/>
        <scheme val="minor"/>
      </rPr>
      <t>groene</t>
    </r>
    <r>
      <rPr>
        <sz val="11"/>
        <color theme="1"/>
        <rFont val="Calibri"/>
        <family val="2"/>
        <scheme val="minor"/>
      </rPr>
      <t xml:space="preserve"> tabbladen zijn voor input aan te leveren voor de berekening.</t>
    </r>
  </si>
  <si>
    <r>
      <t xml:space="preserve">Het </t>
    </r>
    <r>
      <rPr>
        <b/>
        <sz val="11"/>
        <color theme="4"/>
        <rFont val="Calibri"/>
        <family val="2"/>
        <scheme val="minor"/>
      </rPr>
      <t>blauwe</t>
    </r>
    <r>
      <rPr>
        <sz val="11"/>
        <color theme="1"/>
        <rFont val="Calibri"/>
        <family val="2"/>
        <scheme val="minor"/>
      </rPr>
      <t xml:space="preserve"> tabblad geeft het nodige eindresultaat weer.</t>
    </r>
  </si>
  <si>
    <r>
      <t xml:space="preserve">In het </t>
    </r>
    <r>
      <rPr>
        <b/>
        <sz val="11"/>
        <color theme="9"/>
        <rFont val="Calibri"/>
        <family val="2"/>
        <scheme val="minor"/>
      </rPr>
      <t>oranje</t>
    </r>
    <r>
      <rPr>
        <sz val="11"/>
        <color theme="1"/>
        <rFont val="Calibri"/>
        <family val="2"/>
        <scheme val="minor"/>
      </rPr>
      <t xml:space="preserve"> tabblad wordt de berekening gemaakt.</t>
    </r>
  </si>
  <si>
    <t>Versie:</t>
  </si>
  <si>
    <t>Teeltprijzen: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</si>
</sst>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 &quot;€&quot;\ * #,##0.00_ ;_ &quot;€&quot;\ * \-#,##0.00_ ;_ &quot;€&quot;\ * &quot;-&quot;??_ ;_ @_ "/>
    <numFmt numFmtId="164" formatCode="\€#,##0.00"/>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1"/>
      <color rgb="FF000000"/>
      <name val="Calibri"/>
      <family val="2"/>
    </font>
    <font>
      <b/>
      <i/>
      <sz val="12.5"/>
      <color rgb="FFFFFFFF"/>
      <name val="Calibri"/>
      <family val="2"/>
      <scheme val="minor"/>
    </font>
    <font>
      <b/>
      <u/>
      <sz val="11"/>
      <color theme="0"/>
      <name val="Calibri"/>
      <family val="2"/>
      <scheme val="minor"/>
    </font>
    <font>
      <b/>
      <u/>
      <sz val="11"/>
      <name val="Calibri"/>
      <family val="2"/>
      <scheme val="minor"/>
    </font>
    <font>
      <b/>
      <sz val="11"/>
      <color theme="6"/>
      <name val="Calibri"/>
      <family val="2"/>
      <scheme val="minor"/>
    </font>
    <font>
      <b/>
      <sz val="11"/>
      <color theme="4"/>
      <name val="Calibri"/>
      <family val="2"/>
      <scheme val="minor"/>
    </font>
    <font>
      <b/>
      <sz val="11"/>
      <color theme="9"/>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
      <patternFill patternType="solid">
        <fgColor theme="6"/>
        <bgColor indexed="64"/>
      </patternFill>
    </fill>
    <fill>
      <patternFill patternType="solid">
        <fgColor rgb="FF46708C"/>
        <bgColor indexed="64"/>
      </patternFill>
    </fill>
    <fill>
      <patternFill patternType="solid">
        <fgColor theme="4"/>
        <bgColor indexed="64"/>
      </patternFill>
    </fill>
    <fill>
      <patternFill patternType="solid">
        <fgColor theme="1"/>
        <bgColor indexed="64"/>
      </patternFill>
    </fill>
    <fill>
      <patternFill patternType="solid">
        <fgColor theme="9"/>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s>
  <cellStyleXfs count="45">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Border="0"/>
    <xf numFmtId="9" fontId="1" fillId="0" borderId="0" applyFont="0" applyFill="0" applyBorder="0" applyAlignment="0" applyProtection="0"/>
  </cellStyleXfs>
  <cellXfs count="62">
    <xf numFmtId="0" fontId="0" fillId="0" borderId="0" xfId="0"/>
    <xf numFmtId="14" fontId="0" fillId="0" borderId="0" xfId="0" applyNumberFormat="1"/>
    <xf numFmtId="0" fontId="0" fillId="0" borderId="10" xfId="0" applyBorder="1" applyAlignment="1">
      <alignment horizontal="center" vertical="center"/>
    </xf>
    <xf numFmtId="3" fontId="0" fillId="0" borderId="10" xfId="0" applyNumberFormat="1" applyBorder="1" applyAlignment="1">
      <alignment horizontal="center" vertical="center"/>
    </xf>
    <xf numFmtId="44" fontId="0" fillId="0" borderId="10" xfId="1" applyFont="1" applyBorder="1" applyAlignment="1">
      <alignment horizontal="center" vertical="center"/>
    </xf>
    <xf numFmtId="14" fontId="16" fillId="0" borderId="11" xfId="0" applyNumberFormat="1" applyFont="1" applyBorder="1"/>
    <xf numFmtId="0" fontId="0" fillId="0" borderId="14" xfId="0" applyBorder="1"/>
    <xf numFmtId="44" fontId="0" fillId="0" borderId="15" xfId="0" applyNumberFormat="1" applyBorder="1" applyAlignment="1">
      <alignment horizontal="center" vertical="center"/>
    </xf>
    <xf numFmtId="44" fontId="0" fillId="0" borderId="15" xfId="1" applyFont="1" applyBorder="1" applyAlignment="1">
      <alignment horizontal="center" vertical="center"/>
    </xf>
    <xf numFmtId="0" fontId="0" fillId="0" borderId="15" xfId="0" applyBorder="1"/>
    <xf numFmtId="0" fontId="0" fillId="0" borderId="16" xfId="0" applyBorder="1"/>
    <xf numFmtId="0" fontId="0" fillId="0" borderId="17" xfId="0" applyBorder="1" applyAlignment="1">
      <alignment horizontal="center" vertical="center"/>
    </xf>
    <xf numFmtId="0" fontId="0" fillId="0" borderId="18" xfId="0" applyBorder="1"/>
    <xf numFmtId="0" fontId="0" fillId="0" borderId="19" xfId="0" applyBorder="1"/>
    <xf numFmtId="0" fontId="0" fillId="0" borderId="20" xfId="0" applyBorder="1"/>
    <xf numFmtId="0" fontId="18" fillId="0" borderId="0" xfId="0" applyFont="1"/>
    <xf numFmtId="0" fontId="0" fillId="0" borderId="0" xfId="0" applyNumberFormat="1" applyFill="1" applyAlignment="1" applyProtection="1"/>
    <xf numFmtId="0" fontId="0" fillId="0" borderId="0" xfId="0" applyFont="1"/>
    <xf numFmtId="0" fontId="0" fillId="0" borderId="21" xfId="0" applyBorder="1"/>
    <xf numFmtId="3" fontId="0" fillId="0" borderId="22" xfId="0" applyNumberFormat="1" applyBorder="1" applyAlignment="1">
      <alignment horizontal="center" vertical="center"/>
    </xf>
    <xf numFmtId="44" fontId="0" fillId="0" borderId="22" xfId="1" applyFont="1" applyBorder="1" applyAlignment="1">
      <alignment horizontal="center" vertical="center"/>
    </xf>
    <xf numFmtId="44" fontId="0" fillId="0" borderId="23" xfId="0" applyNumberFormat="1" applyBorder="1" applyAlignment="1">
      <alignment horizontal="center" vertical="center"/>
    </xf>
    <xf numFmtId="0" fontId="0" fillId="0" borderId="24" xfId="0" applyBorder="1"/>
    <xf numFmtId="0" fontId="0" fillId="0" borderId="25" xfId="0" applyBorder="1" applyAlignment="1">
      <alignment horizontal="center" vertical="center"/>
    </xf>
    <xf numFmtId="0" fontId="0" fillId="0" borderId="26" xfId="0" applyBorder="1" applyAlignment="1">
      <alignment horizontal="center" vertical="center"/>
    </xf>
    <xf numFmtId="0" fontId="0" fillId="34" borderId="0" xfId="0" applyFill="1" applyAlignment="1">
      <alignment horizontal="center" vertical="center"/>
    </xf>
    <xf numFmtId="0" fontId="0" fillId="0" borderId="0" xfId="0" applyAlignment="1">
      <alignment horizontal="center" vertical="center"/>
    </xf>
    <xf numFmtId="0" fontId="13" fillId="33" borderId="0" xfId="0" applyFont="1" applyFill="1" applyAlignment="1">
      <alignment horizontal="center" vertical="center"/>
    </xf>
    <xf numFmtId="0" fontId="16" fillId="0" borderId="0" xfId="0" applyFont="1" applyAlignment="1">
      <alignment horizontal="center" vertical="center" wrapText="1"/>
    </xf>
    <xf numFmtId="0" fontId="0" fillId="0" borderId="0" xfId="0" applyAlignment="1">
      <alignment horizontal="center" vertical="center" wrapText="1"/>
    </xf>
    <xf numFmtId="44" fontId="0" fillId="0" borderId="0" xfId="1" applyFont="1"/>
    <xf numFmtId="44" fontId="13" fillId="33" borderId="0" xfId="1" applyFont="1" applyFill="1" applyAlignment="1">
      <alignment horizontal="center" vertical="center"/>
    </xf>
    <xf numFmtId="44" fontId="16" fillId="0" borderId="0" xfId="1" applyFont="1" applyAlignment="1">
      <alignment horizontal="center" vertical="center" wrapText="1"/>
    </xf>
    <xf numFmtId="10" fontId="0" fillId="0" borderId="0" xfId="44" applyNumberFormat="1" applyFont="1"/>
    <xf numFmtId="10" fontId="13" fillId="33" borderId="0" xfId="44" applyNumberFormat="1" applyFont="1" applyFill="1" applyAlignment="1">
      <alignment horizontal="center" vertical="center"/>
    </xf>
    <xf numFmtId="10" fontId="16" fillId="0" borderId="0" xfId="44" applyNumberFormat="1" applyFont="1" applyAlignment="1">
      <alignment horizontal="center" vertical="center" wrapText="1"/>
    </xf>
    <xf numFmtId="22" fontId="0" fillId="0" borderId="0" xfId="0" applyNumberFormat="1" applyFill="1" applyAlignment="1" applyProtection="1"/>
    <xf numFmtId="3" fontId="0" fillId="0" borderId="0" xfId="0" applyNumberFormat="1"/>
    <xf numFmtId="3" fontId="0" fillId="0" borderId="0" xfId="1" applyNumberFormat="1" applyFont="1"/>
    <xf numFmtId="3" fontId="0" fillId="0" borderId="0" xfId="44" applyNumberFormat="1" applyFont="1"/>
    <xf numFmtId="0" fontId="0" fillId="0" borderId="10" xfId="0" applyFont="1" applyBorder="1" applyAlignment="1">
      <alignment horizontal="left" vertical="center"/>
    </xf>
    <xf numFmtId="0" fontId="0" fillId="0" borderId="0" xfId="0" applyFont="1" applyAlignment="1">
      <alignment horizontal="left" vertical="center"/>
    </xf>
    <xf numFmtId="0" fontId="20" fillId="35" borderId="10" xfId="0" applyFont="1" applyFill="1" applyBorder="1" applyAlignment="1">
      <alignment horizontal="left" vertical="center"/>
    </xf>
    <xf numFmtId="0" fontId="20" fillId="35" borderId="10" xfId="0" applyFont="1" applyFill="1" applyBorder="1" applyAlignment="1">
      <alignment horizontal="left" vertical="center" wrapText="1"/>
    </xf>
    <xf numFmtId="4" fontId="20" fillId="35" borderId="10" xfId="0" applyNumberFormat="1" applyFont="1" applyFill="1" applyBorder="1" applyAlignment="1">
      <alignment horizontal="center" vertical="center" wrapText="1"/>
    </xf>
    <xf numFmtId="164" fontId="20" fillId="35" borderId="10" xfId="1" applyNumberFormat="1" applyFont="1" applyFill="1" applyBorder="1" applyAlignment="1">
      <alignment horizontal="center" vertical="center" wrapText="1"/>
    </xf>
    <xf numFmtId="10" fontId="20" fillId="35" borderId="10" xfId="44" applyNumberFormat="1" applyFont="1" applyFill="1" applyBorder="1" applyAlignment="1">
      <alignment horizontal="center" vertical="center" wrapText="1"/>
    </xf>
    <xf numFmtId="4" fontId="0" fillId="0" borderId="10" xfId="0" applyNumberFormat="1" applyFont="1" applyBorder="1" applyAlignment="1">
      <alignment horizontal="center" vertical="center"/>
    </xf>
    <xf numFmtId="164" fontId="0" fillId="0" borderId="10" xfId="1" applyNumberFormat="1" applyFont="1" applyBorder="1" applyAlignment="1">
      <alignment horizontal="center" vertical="center"/>
    </xf>
    <xf numFmtId="10" fontId="0" fillId="0" borderId="10" xfId="44" applyNumberFormat="1" applyFont="1" applyBorder="1" applyAlignment="1">
      <alignment horizontal="center" vertical="center"/>
    </xf>
    <xf numFmtId="4" fontId="0" fillId="0" borderId="0" xfId="0" applyNumberFormat="1" applyFont="1" applyAlignment="1">
      <alignment horizontal="center" vertical="center"/>
    </xf>
    <xf numFmtId="164" fontId="0" fillId="0" borderId="0" xfId="1" applyNumberFormat="1" applyFont="1" applyAlignment="1">
      <alignment horizontal="center" vertical="center"/>
    </xf>
    <xf numFmtId="10" fontId="0" fillId="0" borderId="0" xfId="44" applyNumberFormat="1" applyFont="1" applyAlignment="1">
      <alignment horizontal="center" vertical="center"/>
    </xf>
    <xf numFmtId="4" fontId="20" fillId="35" borderId="10" xfId="0" applyNumberFormat="1" applyFont="1" applyFill="1" applyBorder="1" applyAlignment="1">
      <alignment horizontal="center" vertical="center"/>
    </xf>
    <xf numFmtId="164" fontId="20" fillId="35" borderId="10" xfId="1" applyNumberFormat="1" applyFont="1" applyFill="1" applyBorder="1" applyAlignment="1">
      <alignment horizontal="center" vertical="center"/>
    </xf>
    <xf numFmtId="10" fontId="20" fillId="35" borderId="10" xfId="44" applyNumberFormat="1" applyFont="1" applyFill="1" applyBorder="1" applyAlignment="1">
      <alignment horizontal="center" vertical="center"/>
    </xf>
    <xf numFmtId="0" fontId="21" fillId="36" borderId="0" xfId="0" applyFont="1" applyFill="1"/>
    <xf numFmtId="0" fontId="22" fillId="34" borderId="0" xfId="0" applyFont="1" applyFill="1"/>
    <xf numFmtId="0" fontId="13" fillId="37" borderId="0" xfId="0" applyFont="1" applyFill="1"/>
    <xf numFmtId="0" fontId="22" fillId="38" borderId="0" xfId="0" applyFont="1" applyFill="1"/>
    <xf numFmtId="0" fontId="0" fillId="0" borderId="12" xfId="0" applyBorder="1" applyAlignment="1">
      <alignment horizontal="center"/>
    </xf>
    <xf numFmtId="0" fontId="0" fillId="0" borderId="13" xfId="0" applyBorder="1" applyAlignment="1">
      <alignment horizontal="center"/>
    </xf>
  </cellXfs>
  <cellStyles count="45">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erekening" xfId="12" builtinId="22" customBuiltin="1"/>
    <cellStyle name="Controlecel" xfId="14" builtinId="23" customBuiltin="1"/>
    <cellStyle name="Gekoppelde cel" xfId="13" builtinId="24" customBuiltin="1"/>
    <cellStyle name="Goed" xfId="7" builtinId="26" customBuiltin="1"/>
    <cellStyle name="Invoer" xfId="10" builtinId="20" customBuiltin="1"/>
    <cellStyle name="Kop 1" xfId="3" builtinId="16" customBuiltin="1"/>
    <cellStyle name="Kop 2" xfId="4" builtinId="17" customBuiltin="1"/>
    <cellStyle name="Kop 3" xfId="5" builtinId="18" customBuiltin="1"/>
    <cellStyle name="Kop 4" xfId="6" builtinId="19" customBuiltin="1"/>
    <cellStyle name="Neutraal" xfId="9" builtinId="28" customBuiltin="1"/>
    <cellStyle name="Notitie" xfId="16" builtinId="10" customBuiltin="1"/>
    <cellStyle name="Ongeldig" xfId="8" builtinId="27" customBuiltin="1"/>
    <cellStyle name="Procent" xfId="44" builtinId="5"/>
    <cellStyle name="Standaard" xfId="0" builtinId="0"/>
    <cellStyle name="Standaard 2" xfId="43"/>
    <cellStyle name="Titel" xfId="2" builtinId="15" customBuiltin="1"/>
    <cellStyle name="Totaal" xfId="18" builtinId="25" customBuiltin="1"/>
    <cellStyle name="Uitvoer" xfId="11" builtinId="21" customBuiltin="1"/>
    <cellStyle name="Valuta" xfId="1" builtinId="4"/>
    <cellStyle name="Verklarende tekst" xfId="17" builtinId="53" customBuiltin="1"/>
    <cellStyle name="Waarschuwingsteks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198120</xdr:colOff>
          <xdr:row>0</xdr:row>
          <xdr:rowOff>76200</xdr:rowOff>
        </xdr:from>
        <xdr:to>
          <xdr:col>2</xdr:col>
          <xdr:colOff>525780</xdr:colOff>
          <xdr:row>2</xdr:row>
          <xdr:rowOff>106680</xdr:rowOff>
        </xdr:to>
        <xdr:sp macro="" textlink="">
          <xdr:nvSpPr>
            <xdr:cNvPr id="3073" name="Inladen_command"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rgb="FFFF0000"/>
  </sheetPr>
  <dimension ref="A1:A29"/>
  <sheetViews>
    <sheetView workbookViewId="0">
      <selection activeCell="B10" sqref="B10"/>
    </sheetView>
  </sheetViews>
  <sheetFormatPr defaultRowHeight="14.4" x14ac:dyDescent="0.3"/>
  <cols>
    <col min="1" max="1" width="34.33203125" customWidth="1"/>
  </cols>
  <sheetData>
    <row r="1" spans="1:1" x14ac:dyDescent="0.3">
      <c r="A1" s="58" t="s">
        <v>61</v>
      </c>
    </row>
    <row r="2" spans="1:1" x14ac:dyDescent="0.3">
      <c r="A2" t="s">
        <v>16</v>
      </c>
    </row>
    <row r="3" spans="1:1" x14ac:dyDescent="0.3">
      <c r="A3" t="s">
        <v>17</v>
      </c>
    </row>
    <row r="5" spans="1:1" x14ac:dyDescent="0.3">
      <c r="A5" s="58" t="s">
        <v>62</v>
      </c>
    </row>
    <row r="6" spans="1:1" x14ac:dyDescent="0.3">
      <c r="A6" t="s">
        <v>64</v>
      </c>
    </row>
    <row r="7" spans="1:1" x14ac:dyDescent="0.3">
      <c r="A7" t="s">
        <v>66</v>
      </c>
    </row>
    <row r="8" spans="1:1" x14ac:dyDescent="0.3">
      <c r="A8" t="s">
        <v>65</v>
      </c>
    </row>
    <row r="10" spans="1:1" x14ac:dyDescent="0.3">
      <c r="A10" s="57" t="s">
        <v>60</v>
      </c>
    </row>
    <row r="11" spans="1:1" x14ac:dyDescent="0.3">
      <c r="A11" t="s">
        <v>22</v>
      </c>
    </row>
    <row r="12" spans="1:1" x14ac:dyDescent="0.3">
      <c r="A12" s="17" t="s">
        <v>23</v>
      </c>
    </row>
    <row r="13" spans="1:1" x14ac:dyDescent="0.3">
      <c r="A13" s="17" t="s">
        <v>24</v>
      </c>
    </row>
    <row r="14" spans="1:1" x14ac:dyDescent="0.3">
      <c r="A14" s="17"/>
    </row>
    <row r="15" spans="1:1" x14ac:dyDescent="0.3">
      <c r="A15" s="57" t="s">
        <v>59</v>
      </c>
    </row>
    <row r="16" spans="1:1" x14ac:dyDescent="0.3">
      <c r="A16" t="s">
        <v>18</v>
      </c>
    </row>
    <row r="17" spans="1:1" x14ac:dyDescent="0.3">
      <c r="A17" t="s">
        <v>19</v>
      </c>
    </row>
    <row r="18" spans="1:1" x14ac:dyDescent="0.3">
      <c r="A18" t="s">
        <v>20</v>
      </c>
    </row>
    <row r="19" spans="1:1" x14ac:dyDescent="0.3">
      <c r="A19" t="s">
        <v>21</v>
      </c>
    </row>
    <row r="21" spans="1:1" x14ac:dyDescent="0.3">
      <c r="A21" s="59" t="s">
        <v>58</v>
      </c>
    </row>
    <row r="22" spans="1:1" x14ac:dyDescent="0.3">
      <c r="A22" t="s">
        <v>52</v>
      </c>
    </row>
    <row r="23" spans="1:1" x14ac:dyDescent="0.3">
      <c r="A23" t="s">
        <v>51</v>
      </c>
    </row>
    <row r="25" spans="1:1" x14ac:dyDescent="0.3">
      <c r="A25" s="56" t="s">
        <v>57</v>
      </c>
    </row>
    <row r="26" spans="1:1" x14ac:dyDescent="0.3">
      <c r="A26" t="s">
        <v>50</v>
      </c>
    </row>
    <row r="28" spans="1:1" x14ac:dyDescent="0.3">
      <c r="A28" s="58" t="s">
        <v>63</v>
      </c>
    </row>
    <row r="29" spans="1:1" x14ac:dyDescent="0.3">
      <c r="A29"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D31"/>
  <sheetViews>
    <sheetView topLeftCell="A16" workbookViewId="0">
      <selection activeCell="A32" sqref="A32"/>
    </sheetView>
  </sheetViews>
  <sheetFormatPr defaultRowHeight="14.4" x14ac:dyDescent="0.3"/>
  <cols>
    <col min="1" max="1" width="19.77734375" customWidth="1"/>
    <col min="2" max="2" width="11.6640625" customWidth="1"/>
    <col min="3" max="3" width="13.6640625" customWidth="1"/>
    <col min="4" max="4" width="20.88671875" customWidth="1"/>
  </cols>
  <sheetData>
    <row r="1" spans="1:4" x14ac:dyDescent="0.3">
      <c r="A1" s="5">
        <v>43347</v>
      </c>
      <c r="B1" s="60" t="s">
        <v>1</v>
      </c>
      <c r="C1" s="60"/>
      <c r="D1" s="61"/>
    </row>
    <row r="2" spans="1:4" ht="15" thickBot="1" x14ac:dyDescent="0.35">
      <c r="A2" s="22" t="s">
        <v>2</v>
      </c>
      <c r="B2" s="23" t="s">
        <v>3</v>
      </c>
      <c r="C2" s="23" t="s">
        <v>4</v>
      </c>
      <c r="D2" s="24" t="s">
        <v>5</v>
      </c>
    </row>
    <row r="3" spans="1:4" ht="15" thickTop="1" x14ac:dyDescent="0.3">
      <c r="A3" s="18" t="s">
        <v>25</v>
      </c>
      <c r="B3" s="19">
        <v>55000</v>
      </c>
      <c r="C3" s="20">
        <v>0.3</v>
      </c>
      <c r="D3" s="21">
        <f>C3*B3</f>
        <v>16500</v>
      </c>
    </row>
    <row r="4" spans="1:4" x14ac:dyDescent="0.3">
      <c r="A4" s="6" t="s">
        <v>15</v>
      </c>
      <c r="B4" s="3">
        <v>50000</v>
      </c>
      <c r="C4" s="4">
        <v>0.4</v>
      </c>
      <c r="D4" s="7">
        <f t="shared" ref="D4:D15" si="0">C4*B4</f>
        <v>20000</v>
      </c>
    </row>
    <row r="5" spans="1:4" x14ac:dyDescent="0.3">
      <c r="A5" s="6" t="s">
        <v>26</v>
      </c>
      <c r="B5" s="3">
        <v>15000</v>
      </c>
      <c r="C5" s="4">
        <v>2.2000000000000002</v>
      </c>
      <c r="D5" s="7">
        <f t="shared" si="0"/>
        <v>33000</v>
      </c>
    </row>
    <row r="6" spans="1:4" x14ac:dyDescent="0.3">
      <c r="A6" s="6" t="s">
        <v>27</v>
      </c>
      <c r="B6" s="3">
        <v>13000</v>
      </c>
      <c r="C6" s="4">
        <v>0.6</v>
      </c>
      <c r="D6" s="7">
        <f t="shared" si="0"/>
        <v>7800</v>
      </c>
    </row>
    <row r="7" spans="1:4" x14ac:dyDescent="0.3">
      <c r="A7" s="6" t="s">
        <v>28</v>
      </c>
      <c r="B7" s="3">
        <v>25000</v>
      </c>
      <c r="C7" s="4">
        <v>2.5</v>
      </c>
      <c r="D7" s="7">
        <f>C7*B7</f>
        <v>62500</v>
      </c>
    </row>
    <row r="8" spans="1:4" x14ac:dyDescent="0.3">
      <c r="A8" s="6" t="s">
        <v>29</v>
      </c>
      <c r="B8" s="3">
        <v>13000</v>
      </c>
      <c r="C8" s="4">
        <v>2.5</v>
      </c>
      <c r="D8" s="7">
        <f t="shared" si="0"/>
        <v>32500</v>
      </c>
    </row>
    <row r="9" spans="1:4" x14ac:dyDescent="0.3">
      <c r="A9" s="6" t="s">
        <v>30</v>
      </c>
      <c r="B9" s="3">
        <v>18000</v>
      </c>
      <c r="C9" s="4">
        <v>4.5999999999999996</v>
      </c>
      <c r="D9" s="7">
        <f t="shared" si="0"/>
        <v>82800</v>
      </c>
    </row>
    <row r="10" spans="1:4" x14ac:dyDescent="0.3">
      <c r="A10" s="6" t="s">
        <v>31</v>
      </c>
      <c r="B10" s="3">
        <v>10000</v>
      </c>
      <c r="C10" s="4">
        <f>200/1000</f>
        <v>0.2</v>
      </c>
      <c r="D10" s="7">
        <f t="shared" si="0"/>
        <v>2000</v>
      </c>
    </row>
    <row r="11" spans="1:4" x14ac:dyDescent="0.3">
      <c r="A11" s="6" t="s">
        <v>32</v>
      </c>
      <c r="B11" s="3">
        <v>10000</v>
      </c>
      <c r="C11" s="4">
        <f>180/1000</f>
        <v>0.18</v>
      </c>
      <c r="D11" s="7">
        <f t="shared" si="0"/>
        <v>1800</v>
      </c>
    </row>
    <row r="12" spans="1:4" x14ac:dyDescent="0.3">
      <c r="A12" s="6" t="s">
        <v>33</v>
      </c>
      <c r="B12" s="3">
        <v>10000</v>
      </c>
      <c r="C12" s="4">
        <f>180/1000</f>
        <v>0.18</v>
      </c>
      <c r="D12" s="7">
        <f t="shared" si="0"/>
        <v>1800</v>
      </c>
    </row>
    <row r="13" spans="1:4" x14ac:dyDescent="0.3">
      <c r="A13" s="6" t="s">
        <v>10</v>
      </c>
      <c r="B13" s="3">
        <v>100000</v>
      </c>
      <c r="C13" s="4">
        <f>28/1000</f>
        <v>2.8000000000000001E-2</v>
      </c>
      <c r="D13" s="7">
        <f t="shared" si="0"/>
        <v>2800</v>
      </c>
    </row>
    <row r="14" spans="1:4" x14ac:dyDescent="0.3">
      <c r="A14" s="6" t="s">
        <v>14</v>
      </c>
      <c r="B14" s="3">
        <v>65000</v>
      </c>
      <c r="C14" s="4">
        <f>52/1000</f>
        <v>5.1999999999999998E-2</v>
      </c>
      <c r="D14" s="7">
        <f t="shared" si="0"/>
        <v>3380</v>
      </c>
    </row>
    <row r="15" spans="1:4" x14ac:dyDescent="0.3">
      <c r="A15" s="6" t="s">
        <v>11</v>
      </c>
      <c r="B15" s="3">
        <v>55000</v>
      </c>
      <c r="C15" s="4">
        <v>0.1</v>
      </c>
      <c r="D15" s="7">
        <f t="shared" si="0"/>
        <v>5500</v>
      </c>
    </row>
    <row r="16" spans="1:4" x14ac:dyDescent="0.3">
      <c r="A16" s="6" t="s">
        <v>13</v>
      </c>
      <c r="B16" s="2" t="s">
        <v>6</v>
      </c>
      <c r="C16" s="2" t="s">
        <v>6</v>
      </c>
      <c r="D16" s="8">
        <v>3000</v>
      </c>
    </row>
    <row r="17" spans="1:4" x14ac:dyDescent="0.3">
      <c r="A17" s="6" t="s">
        <v>34</v>
      </c>
      <c r="B17" s="2" t="s">
        <v>6</v>
      </c>
      <c r="C17" s="2" t="s">
        <v>6</v>
      </c>
      <c r="D17" s="8">
        <v>3000</v>
      </c>
    </row>
    <row r="18" spans="1:4" x14ac:dyDescent="0.3">
      <c r="A18" s="6" t="s">
        <v>12</v>
      </c>
      <c r="B18" s="2" t="s">
        <v>6</v>
      </c>
      <c r="C18" s="2" t="s">
        <v>6</v>
      </c>
      <c r="D18" s="8">
        <v>4500</v>
      </c>
    </row>
    <row r="19" spans="1:4" x14ac:dyDescent="0.3">
      <c r="A19" s="6" t="s">
        <v>9</v>
      </c>
      <c r="B19" s="2" t="s">
        <v>6</v>
      </c>
      <c r="C19" s="2" t="s">
        <v>6</v>
      </c>
      <c r="D19" s="8">
        <v>1600</v>
      </c>
    </row>
    <row r="20" spans="1:4" x14ac:dyDescent="0.3">
      <c r="A20" s="6" t="s">
        <v>0</v>
      </c>
      <c r="B20" s="2" t="s">
        <v>6</v>
      </c>
      <c r="C20" s="2" t="s">
        <v>6</v>
      </c>
      <c r="D20" s="8">
        <v>1200</v>
      </c>
    </row>
    <row r="21" spans="1:4" x14ac:dyDescent="0.3">
      <c r="A21" s="6" t="s">
        <v>36</v>
      </c>
      <c r="B21" s="2" t="s">
        <v>6</v>
      </c>
      <c r="C21" s="2" t="s">
        <v>6</v>
      </c>
      <c r="D21" s="8">
        <v>5500</v>
      </c>
    </row>
    <row r="22" spans="1:4" x14ac:dyDescent="0.3">
      <c r="A22" s="6" t="s">
        <v>37</v>
      </c>
      <c r="B22" s="2" t="s">
        <v>6</v>
      </c>
      <c r="C22" s="2" t="s">
        <v>6</v>
      </c>
      <c r="D22" s="8">
        <v>1800</v>
      </c>
    </row>
    <row r="23" spans="1:4" x14ac:dyDescent="0.3">
      <c r="A23" s="6" t="s">
        <v>38</v>
      </c>
      <c r="B23" s="2" t="s">
        <v>6</v>
      </c>
      <c r="C23" s="2" t="s">
        <v>6</v>
      </c>
      <c r="D23" s="9"/>
    </row>
    <row r="24" spans="1:4" x14ac:dyDescent="0.3">
      <c r="A24" s="13" t="s">
        <v>39</v>
      </c>
      <c r="B24" s="2" t="s">
        <v>6</v>
      </c>
      <c r="C24" s="2" t="s">
        <v>6</v>
      </c>
      <c r="D24" s="14"/>
    </row>
    <row r="25" spans="1:4" ht="15" thickBot="1" x14ac:dyDescent="0.35">
      <c r="A25" s="10" t="s">
        <v>40</v>
      </c>
      <c r="B25" s="11" t="s">
        <v>6</v>
      </c>
      <c r="C25" s="11" t="s">
        <v>6</v>
      </c>
      <c r="D25" s="12"/>
    </row>
    <row r="28" spans="1:4" x14ac:dyDescent="0.3">
      <c r="A28" s="15" t="s">
        <v>7</v>
      </c>
    </row>
    <row r="29" spans="1:4" x14ac:dyDescent="0.3">
      <c r="A29" s="15" t="s">
        <v>8</v>
      </c>
    </row>
    <row r="30" spans="1:4" x14ac:dyDescent="0.3">
      <c r="A30" s="15" t="s">
        <v>35</v>
      </c>
    </row>
    <row r="31" spans="1:4" x14ac:dyDescent="0.3">
      <c r="A31" s="15" t="s">
        <v>56</v>
      </c>
    </row>
  </sheetData>
  <mergeCells count="1">
    <mergeCell ref="B1:D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sheetPr>
  <dimension ref="I2:I18"/>
  <sheetViews>
    <sheetView workbookViewId="0">
      <selection activeCell="C14" sqref="C14"/>
    </sheetView>
  </sheetViews>
  <sheetFormatPr defaultRowHeight="14.4" x14ac:dyDescent="0.3"/>
  <cols>
    <col min="1" max="1" width="9.33203125" style="16" bestFit="1" customWidth="1"/>
    <col min="2" max="2" width="18.6640625" style="16" bestFit="1" customWidth="1"/>
    <col min="3" max="3" width="9.33203125" style="16" bestFit="1" customWidth="1"/>
    <col min="4" max="4" width="26.88671875" style="16" bestFit="1" customWidth="1"/>
    <col min="5" max="5" width="5" style="16" bestFit="1" customWidth="1"/>
    <col min="6" max="6" width="12" style="16" bestFit="1" customWidth="1"/>
    <col min="7" max="7" width="18.109375" style="16" bestFit="1" customWidth="1"/>
    <col min="8" max="8" width="17.88671875" style="16" bestFit="1" customWidth="1"/>
    <col min="9" max="9" width="15.88671875" style="16" bestFit="1" customWidth="1"/>
    <col min="10" max="10" width="13.6640625" style="16" bestFit="1" customWidth="1"/>
    <col min="11" max="11" width="33.109375" style="16" bestFit="1" customWidth="1"/>
    <col min="12" max="12" width="37.44140625" style="16" bestFit="1" customWidth="1"/>
    <col min="13" max="13" width="12.5546875" style="16" bestFit="1" customWidth="1"/>
    <col min="14" max="14" width="14.5546875" style="16" bestFit="1" customWidth="1"/>
    <col min="15" max="16384" width="8.88671875" style="16"/>
  </cols>
  <sheetData>
    <row r="2" spans="9:9" x14ac:dyDescent="0.3">
      <c r="I2" s="36"/>
    </row>
    <row r="3" spans="9:9" x14ac:dyDescent="0.3">
      <c r="I3" s="36"/>
    </row>
    <row r="4" spans="9:9" x14ac:dyDescent="0.3">
      <c r="I4" s="36"/>
    </row>
    <row r="5" spans="9:9" x14ac:dyDescent="0.3">
      <c r="I5" s="36"/>
    </row>
    <row r="6" spans="9:9" x14ac:dyDescent="0.3">
      <c r="I6" s="36"/>
    </row>
    <row r="7" spans="9:9" x14ac:dyDescent="0.3">
      <c r="I7" s="36"/>
    </row>
    <row r="8" spans="9:9" x14ac:dyDescent="0.3">
      <c r="I8" s="36"/>
    </row>
    <row r="9" spans="9:9" x14ac:dyDescent="0.3">
      <c r="I9" s="36"/>
    </row>
    <row r="10" spans="9:9" x14ac:dyDescent="0.3">
      <c r="I10" s="36"/>
    </row>
    <row r="11" spans="9:9" x14ac:dyDescent="0.3">
      <c r="I11" s="36"/>
    </row>
    <row r="12" spans="9:9" x14ac:dyDescent="0.3">
      <c r="I12" s="36"/>
    </row>
    <row r="13" spans="9:9" x14ac:dyDescent="0.3">
      <c r="I13" s="36"/>
    </row>
    <row r="15" spans="9:9" x14ac:dyDescent="0.3">
      <c r="I15" s="36"/>
    </row>
    <row r="16" spans="9:9" x14ac:dyDescent="0.3">
      <c r="I16" s="36"/>
    </row>
    <row r="17" spans="9:9" x14ac:dyDescent="0.3">
      <c r="I17" s="36"/>
    </row>
    <row r="18" spans="9:9" x14ac:dyDescent="0.3">
      <c r="I18" s="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FFFF00"/>
  </sheetPr>
  <dimension ref="A1:K5"/>
  <sheetViews>
    <sheetView tabSelected="1" workbookViewId="0">
      <selection activeCell="C8" sqref="C8"/>
    </sheetView>
  </sheetViews>
  <sheetFormatPr defaultRowHeight="14.4" x14ac:dyDescent="0.3"/>
  <cols>
    <col min="3" max="3" width="18.77734375" bestFit="1" customWidth="1"/>
    <col min="5" max="5" width="16.33203125" bestFit="1" customWidth="1"/>
    <col min="6" max="6" width="16.21875" bestFit="1" customWidth="1"/>
    <col min="7" max="7" width="10.21875" customWidth="1"/>
    <col min="8" max="8" width="11.88671875" style="30" customWidth="1"/>
    <col min="9" max="9" width="16.33203125" bestFit="1" customWidth="1"/>
    <col min="10" max="10" width="13.6640625" customWidth="1"/>
    <col min="11" max="11" width="12.88671875" style="33" customWidth="1"/>
  </cols>
  <sheetData>
    <row r="1" spans="1:11" x14ac:dyDescent="0.3">
      <c r="E1" s="1"/>
    </row>
    <row r="2" spans="1:11" x14ac:dyDescent="0.3">
      <c r="E2" s="1"/>
    </row>
    <row r="3" spans="1:11" s="37" customFormat="1" x14ac:dyDescent="0.3">
      <c r="A3" s="37">
        <v>1</v>
      </c>
      <c r="B3" s="37">
        <v>2</v>
      </c>
      <c r="C3" s="37">
        <v>3</v>
      </c>
      <c r="D3" s="37">
        <v>4</v>
      </c>
      <c r="E3" s="37">
        <v>5</v>
      </c>
      <c r="F3" s="37">
        <v>6</v>
      </c>
      <c r="G3" s="37">
        <v>7</v>
      </c>
      <c r="H3" s="38">
        <v>8</v>
      </c>
      <c r="I3" s="37">
        <v>9</v>
      </c>
      <c r="J3" s="37">
        <v>10</v>
      </c>
      <c r="K3" s="39">
        <v>11</v>
      </c>
    </row>
    <row r="4" spans="1:11" s="26" customFormat="1" x14ac:dyDescent="0.3">
      <c r="A4" s="25" t="s">
        <v>45</v>
      </c>
      <c r="B4" s="25" t="s">
        <v>45</v>
      </c>
      <c r="C4" s="25" t="s">
        <v>45</v>
      </c>
      <c r="D4" s="25" t="s">
        <v>45</v>
      </c>
      <c r="E4" s="25" t="s">
        <v>45</v>
      </c>
      <c r="F4" s="25" t="s">
        <v>45</v>
      </c>
      <c r="G4" s="25" t="s">
        <v>45</v>
      </c>
      <c r="H4" s="31" t="s">
        <v>46</v>
      </c>
      <c r="I4" s="27" t="s">
        <v>46</v>
      </c>
      <c r="J4" s="27" t="s">
        <v>46</v>
      </c>
      <c r="K4" s="34" t="s">
        <v>46</v>
      </c>
    </row>
    <row r="5" spans="1:11" s="29" customFormat="1" ht="28.8" x14ac:dyDescent="0.3">
      <c r="A5" s="28"/>
      <c r="B5" s="28"/>
      <c r="C5" s="28"/>
      <c r="D5" s="28"/>
      <c r="E5" s="28"/>
      <c r="F5" s="28"/>
      <c r="G5" s="28"/>
      <c r="H5" s="32" t="s">
        <v>41</v>
      </c>
      <c r="I5" s="28" t="s">
        <v>42</v>
      </c>
      <c r="J5" s="28" t="s">
        <v>43</v>
      </c>
      <c r="K5" s="35" t="s">
        <v>44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Inladen_command">
          <controlPr defaultSize="0" autoLine="0" r:id="rId5">
            <anchor moveWithCells="1">
              <from>
                <xdr:col>0</xdr:col>
                <xdr:colOff>198120</xdr:colOff>
                <xdr:row>0</xdr:row>
                <xdr:rowOff>76200</xdr:rowOff>
              </from>
              <to>
                <xdr:col>2</xdr:col>
                <xdr:colOff>525780</xdr:colOff>
                <xdr:row>2</xdr:row>
                <xdr:rowOff>106680</xdr:rowOff>
              </to>
            </anchor>
          </controlPr>
        </control>
      </mc:Choice>
      <mc:Fallback>
        <control shapeId="3073" r:id="rId4" name="Inladen_command"/>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rgb="FF0070C0"/>
  </sheetPr>
  <dimension ref="A1:F26"/>
  <sheetViews>
    <sheetView workbookViewId="0">
      <selection activeCell="E3" sqref="E3"/>
    </sheetView>
  </sheetViews>
  <sheetFormatPr defaultRowHeight="14.4" x14ac:dyDescent="0.3"/>
  <cols>
    <col min="1" max="1" width="16.77734375" style="41" customWidth="1"/>
    <col min="2" max="2" width="10.77734375" style="50" customWidth="1"/>
    <col min="3" max="3" width="14.77734375" style="51" customWidth="1"/>
    <col min="4" max="4" width="8.77734375" style="52" customWidth="1"/>
    <col min="5" max="5" width="11.5546875" bestFit="1" customWidth="1"/>
    <col min="6" max="6" width="9.5546875" style="1" bestFit="1" customWidth="1"/>
  </cols>
  <sheetData>
    <row r="1" spans="1:5" ht="30" customHeight="1" x14ac:dyDescent="0.3">
      <c r="A1" s="43" t="s">
        <v>48</v>
      </c>
      <c r="B1" s="44" t="s">
        <v>47</v>
      </c>
      <c r="C1" s="45" t="s">
        <v>41</v>
      </c>
      <c r="D1" s="46" t="s">
        <v>49</v>
      </c>
      <c r="E1" t="s">
        <v>67</v>
      </c>
    </row>
    <row r="2" spans="1:5" ht="15" customHeight="1" x14ac:dyDescent="0.3">
      <c r="A2" s="40" t="s">
        <v>25</v>
      </c>
      <c r="B2" s="47"/>
      <c r="C2" s="48"/>
      <c r="D2" s="49"/>
      <c r="E2" t="s">
        <v>68</v>
      </c>
    </row>
    <row r="3" spans="1:5" ht="15" customHeight="1" x14ac:dyDescent="0.3">
      <c r="A3" s="40" t="s">
        <v>15</v>
      </c>
      <c r="B3" s="47"/>
      <c r="C3" s="48"/>
      <c r="D3" s="49"/>
    </row>
    <row r="4" spans="1:5" ht="15" customHeight="1" x14ac:dyDescent="0.3">
      <c r="A4" s="40" t="s">
        <v>26</v>
      </c>
      <c r="B4" s="47"/>
      <c r="C4" s="48"/>
      <c r="D4" s="49"/>
    </row>
    <row r="5" spans="1:5" ht="15" customHeight="1" x14ac:dyDescent="0.3">
      <c r="A5" s="40" t="s">
        <v>27</v>
      </c>
      <c r="B5" s="47"/>
      <c r="C5" s="48"/>
      <c r="D5" s="49"/>
    </row>
    <row r="6" spans="1:5" ht="15" customHeight="1" x14ac:dyDescent="0.3">
      <c r="A6" s="40" t="s">
        <v>28</v>
      </c>
      <c r="B6" s="47"/>
      <c r="C6" s="48"/>
      <c r="D6" s="49"/>
    </row>
    <row r="7" spans="1:5" ht="15" customHeight="1" x14ac:dyDescent="0.3">
      <c r="A7" s="40" t="s">
        <v>29</v>
      </c>
      <c r="B7" s="47"/>
      <c r="C7" s="48"/>
      <c r="D7" s="49"/>
    </row>
    <row r="8" spans="1:5" ht="15" customHeight="1" x14ac:dyDescent="0.3">
      <c r="A8" s="40" t="s">
        <v>30</v>
      </c>
      <c r="B8" s="47"/>
      <c r="C8" s="48"/>
      <c r="D8" s="49"/>
    </row>
    <row r="9" spans="1:5" ht="15" customHeight="1" x14ac:dyDescent="0.3">
      <c r="A9" s="40" t="s">
        <v>31</v>
      </c>
      <c r="B9" s="47"/>
      <c r="C9" s="48"/>
      <c r="D9" s="49"/>
    </row>
    <row r="10" spans="1:5" ht="15" customHeight="1" x14ac:dyDescent="0.3">
      <c r="A10" s="40" t="s">
        <v>32</v>
      </c>
      <c r="B10" s="47"/>
      <c r="C10" s="48"/>
      <c r="D10" s="49"/>
    </row>
    <row r="11" spans="1:5" ht="15" customHeight="1" x14ac:dyDescent="0.3">
      <c r="A11" s="40" t="s">
        <v>33</v>
      </c>
      <c r="B11" s="47"/>
      <c r="C11" s="48"/>
      <c r="D11" s="49"/>
    </row>
    <row r="12" spans="1:5" ht="15" customHeight="1" x14ac:dyDescent="0.3">
      <c r="A12" s="40" t="s">
        <v>10</v>
      </c>
      <c r="B12" s="47"/>
      <c r="C12" s="48"/>
      <c r="D12" s="49"/>
    </row>
    <row r="13" spans="1:5" ht="15" customHeight="1" x14ac:dyDescent="0.3">
      <c r="A13" s="40" t="s">
        <v>14</v>
      </c>
      <c r="B13" s="47"/>
      <c r="C13" s="48"/>
      <c r="D13" s="49"/>
    </row>
    <row r="14" spans="1:5" ht="15" customHeight="1" x14ac:dyDescent="0.3">
      <c r="A14" s="40" t="s">
        <v>11</v>
      </c>
      <c r="B14" s="47"/>
      <c r="C14" s="48"/>
      <c r="D14" s="49"/>
    </row>
    <row r="15" spans="1:5" ht="15" customHeight="1" x14ac:dyDescent="0.3">
      <c r="A15" s="40" t="s">
        <v>13</v>
      </c>
      <c r="B15" s="47"/>
      <c r="C15" s="48"/>
      <c r="D15" s="49"/>
    </row>
    <row r="16" spans="1:5" ht="15" customHeight="1" x14ac:dyDescent="0.3">
      <c r="A16" s="40" t="s">
        <v>34</v>
      </c>
      <c r="B16" s="47"/>
      <c r="C16" s="48"/>
      <c r="D16" s="49"/>
    </row>
    <row r="17" spans="1:4" ht="15" customHeight="1" x14ac:dyDescent="0.3">
      <c r="A17" s="40" t="s">
        <v>12</v>
      </c>
      <c r="B17" s="47"/>
      <c r="C17" s="48"/>
      <c r="D17" s="49"/>
    </row>
    <row r="18" spans="1:4" ht="15" customHeight="1" x14ac:dyDescent="0.3">
      <c r="A18" s="40" t="s">
        <v>9</v>
      </c>
      <c r="B18" s="47"/>
      <c r="C18" s="48"/>
      <c r="D18" s="49"/>
    </row>
    <row r="19" spans="1:4" ht="15" customHeight="1" x14ac:dyDescent="0.3">
      <c r="A19" s="40" t="s">
        <v>0</v>
      </c>
      <c r="B19" s="47"/>
      <c r="C19" s="48"/>
      <c r="D19" s="49"/>
    </row>
    <row r="20" spans="1:4" ht="15" customHeight="1" x14ac:dyDescent="0.3">
      <c r="A20" s="40" t="s">
        <v>36</v>
      </c>
      <c r="B20" s="47"/>
      <c r="C20" s="48"/>
      <c r="D20" s="49"/>
    </row>
    <row r="21" spans="1:4" ht="15" customHeight="1" x14ac:dyDescent="0.3">
      <c r="A21" s="40" t="s">
        <v>37</v>
      </c>
      <c r="B21" s="47"/>
      <c r="C21" s="48"/>
      <c r="D21" s="49"/>
    </row>
    <row r="22" spans="1:4" ht="15" customHeight="1" x14ac:dyDescent="0.3">
      <c r="A22" s="40" t="s">
        <v>38</v>
      </c>
      <c r="B22" s="47"/>
      <c r="C22" s="48"/>
      <c r="D22" s="49"/>
    </row>
    <row r="23" spans="1:4" ht="15" customHeight="1" x14ac:dyDescent="0.3">
      <c r="A23" s="40" t="s">
        <v>39</v>
      </c>
      <c r="B23" s="47"/>
      <c r="C23" s="48"/>
      <c r="D23" s="49"/>
    </row>
    <row r="24" spans="1:4" ht="15" customHeight="1" x14ac:dyDescent="0.3">
      <c r="A24" s="40" t="s">
        <v>40</v>
      </c>
      <c r="B24" s="47"/>
      <c r="C24" s="48"/>
      <c r="D24" s="49"/>
    </row>
    <row r="25" spans="1:4" ht="15" customHeight="1" x14ac:dyDescent="0.3">
      <c r="A25" s="40"/>
      <c r="B25" s="47"/>
      <c r="C25" s="48"/>
      <c r="D25" s="49"/>
    </row>
    <row r="26" spans="1:4" ht="15" customHeight="1" x14ac:dyDescent="0.3">
      <c r="A26" s="42" t="s">
        <v>53</v>
      </c>
      <c r="B26" s="53" t="s">
        <v>54</v>
      </c>
      <c r="C26" s="54">
        <v>0</v>
      </c>
      <c r="D26" s="55"/>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5</vt:i4>
      </vt:variant>
    </vt:vector>
  </HeadingPairs>
  <TitlesOfParts>
    <vt:vector size="5" baseType="lpstr">
      <vt:lpstr>ReadMe</vt:lpstr>
      <vt:lpstr>Teelten</vt:lpstr>
      <vt:lpstr>Input</vt:lpstr>
      <vt:lpstr>Tool</vt:lpstr>
      <vt:lpstr>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Segers Joris</dc:creator>
  <cp:lastModifiedBy>Verscheijden Vicky</cp:lastModifiedBy>
  <cp:lastPrinted>2018-10-05T08:03:51Z</cp:lastPrinted>
  <dcterms:created xsi:type="dcterms:W3CDTF">2018-09-04T12:11:01Z</dcterms:created>
  <dcterms:modified xsi:type="dcterms:W3CDTF">2018-10-29T15:08:52Z</dcterms:modified>
</cp:coreProperties>
</file>